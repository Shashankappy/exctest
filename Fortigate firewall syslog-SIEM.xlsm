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DDE91AD6-B7DA-4BC6-84AE-FBB6B32BDF60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Change Log" sheetId="6" r:id="rId1"/>
    <sheet name="Traffic-Forward" sheetId="1" r:id="rId2"/>
    <sheet name="Traffic-local" sheetId="8" r:id="rId3"/>
    <sheet name="Traffic-multicast" sheetId="9" r:id="rId4"/>
    <sheet name="Traffic-sniffer" sheetId="10" r:id="rId5"/>
    <sheet name="Event-SD Wan" sheetId="11" r:id="rId6"/>
    <sheet name="Event-System" sheetId="12" r:id="rId7"/>
    <sheet name="Event-Router" sheetId="13" r:id="rId8"/>
    <sheet name="Event-VPN" sheetId="14" r:id="rId9"/>
    <sheet name="Event-User" sheetId="15" r:id="rId10"/>
    <sheet name="Event-Endpoint" sheetId="16" r:id="rId11"/>
    <sheet name="Event-HA" sheetId="17" r:id="rId12"/>
    <sheet name="Event-Security Ratings" sheetId="18" r:id="rId13"/>
    <sheet name="Event-WAD" sheetId="19" r:id="rId14"/>
    <sheet name="Event-Wireless" sheetId="20" r:id="rId15"/>
    <sheet name="Event-Connector" sheetId="21" r:id="rId16"/>
    <sheet name="Event-FortiExtender" sheetId="22" r:id="rId17"/>
    <sheet name="Event-FortiSwitch" sheetId="23" r:id="rId18"/>
    <sheet name="Event-REST API" sheetId="24" r:id="rId19"/>
    <sheet name="UTM-Antivirus" sheetId="25" r:id="rId20"/>
    <sheet name="UTM-Web Filter" sheetId="26" r:id="rId21"/>
    <sheet name="UTM-DNS" sheetId="27" r:id="rId22"/>
    <sheet name="UTM-app-ctrl" sheetId="28" r:id="rId23"/>
    <sheet name="UTM-IPS" sheetId="29" r:id="rId24"/>
    <sheet name="UTM-Anamoly" sheetId="30" r:id="rId25"/>
    <sheet name="UTM-DLP" sheetId="31" r:id="rId26"/>
    <sheet name="UTM-SSH" sheetId="32" r:id="rId27"/>
    <sheet name="UTM-SSL" sheetId="33" r:id="rId28"/>
    <sheet name="UTM-VOIP" sheetId="35" r:id="rId29"/>
    <sheet name="UTM-WAF" sheetId="41" r:id="rId30"/>
    <sheet name="systemevent-endpoint" sheetId="36" r:id="rId31"/>
    <sheet name="systemevent-system" sheetId="37" r:id="rId32"/>
    <sheet name="Traffic-https" sheetId="38" r:id="rId33"/>
    <sheet name="Traffic-System" sheetId="39" r:id="rId34"/>
    <sheet name="UTM-Emailfilter" sheetId="40" r:id="rId35"/>
    <sheet name="Catch-All" sheetId="34" r:id="rId36"/>
  </sheets>
  <definedNames>
    <definedName name="_xlnm._FilterDatabase" localSheetId="1" hidden="1">'Traffic-Forward'!$A$107:$H$137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9" i="14" l="1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</calcChain>
</file>

<file path=xl/sharedStrings.xml><?xml version="1.0" encoding="utf-8"?>
<sst xmlns="http://schemas.openxmlformats.org/spreadsheetml/2006/main" count="6533" uniqueCount="2051">
  <si>
    <t>Change Log</t>
  </si>
  <si>
    <t>Date</t>
  </si>
  <si>
    <t>Changes</t>
  </si>
  <si>
    <t>Initial Draft</t>
  </si>
  <si>
    <t>Vendor</t>
  </si>
  <si>
    <t>Fortinet</t>
  </si>
  <si>
    <t>Product</t>
  </si>
  <si>
    <t>Fortigate Firewall</t>
  </si>
  <si>
    <t>Category</t>
  </si>
  <si>
    <t>Traffic</t>
  </si>
  <si>
    <t>Sub Category</t>
  </si>
  <si>
    <t>Forward</t>
  </si>
  <si>
    <t>Log Source Type</t>
  </si>
  <si>
    <t>Fortinet Fortigate Firewall</t>
  </si>
  <si>
    <t>Vendor Documentation Link</t>
  </si>
  <si>
    <t>https://docs.fortinet.com/document/fortigate/7.0.12/administration-guide/986892/sample-logs-by-log-type</t>
  </si>
  <si>
    <t>General</t>
  </si>
  <si>
    <t>MPE Rule Name</t>
  </si>
  <si>
    <t>Traffic : Forward</t>
  </si>
  <si>
    <t>MPE Rule RegEx ID</t>
  </si>
  <si>
    <t>MPE Rule Version</t>
  </si>
  <si>
    <t>Common Event</t>
  </si>
  <si>
    <t>Operations : Network Traffic : Network Traffic</t>
  </si>
  <si>
    <t>Description</t>
  </si>
  <si>
    <t>Processing Settings</t>
  </si>
  <si>
    <t>Match multi-line log messages</t>
  </si>
  <si>
    <t>Unchecked</t>
  </si>
  <si>
    <t>Ignore case when evaluating log message</t>
  </si>
  <si>
    <t>Checked</t>
  </si>
  <si>
    <t>Disable rule performance monitoring</t>
  </si>
  <si>
    <t>Host Context</t>
  </si>
  <si>
    <t>Tags Normal</t>
  </si>
  <si>
    <t>Origin Host determined via</t>
  </si>
  <si>
    <t>N/A</t>
  </si>
  <si>
    <t>Impacted Host determined via</t>
  </si>
  <si>
    <t>Impacted Application determined via</t>
  </si>
  <si>
    <t>Assigned Application</t>
  </si>
  <si>
    <t>Default Policy Settings</t>
  </si>
  <si>
    <t>Override Log Source Settings</t>
  </si>
  <si>
    <t>Log Processing Settings</t>
  </si>
  <si>
    <t>Disable Automatic Host Contextualization</t>
  </si>
  <si>
    <t>Event Settings</t>
  </si>
  <si>
    <t>Forward matching log messages to Platform Manager</t>
  </si>
  <si>
    <t>LogMart Settings</t>
  </si>
  <si>
    <t>Log Format</t>
  </si>
  <si>
    <t>Limited Structure</t>
  </si>
  <si>
    <t>Log Source Identifiers</t>
  </si>
  <si>
    <t>type="traffic" subtype="forward"</t>
  </si>
  <si>
    <t>Log Sample</t>
  </si>
  <si>
    <t>date=2019-05-10 time=11:37:47 logid="0000000013" type="traffic" subtype="forward" level="notice" vd="vdom1" eventtime=1557513467369910000 srcip=10.0.0.1 srcport=58012 srcintf="port12" srcintfrole="undefined" dstip=10.0.0.2 dstport=80 dstintf="port11" dstintfrole="undefined" srcuuid="ae28f494-1111-51e9-f247-d1d2ce663f4b" dstuuid="ae28f494-2222-51e9-f247-d1d2ce663f4b" poluuid="ccb269e0-3333-51e9-a218-a397dd08b7eb" sessionid=105048 proto=6 action="close" policyid=1 policytype="policy" service="HTTP" dstcountry="Canada" srccountry="Reserved" trandisp="snat" transip=10.0.0.3 transport=58012 appid=34050 app="HTTP.BROWSER_Firefox" appcat="Web.Client" apprisk="elevated" applist="g-default" duration=116 sentbyte=1188 rcvdbyte=1224 sentpkt=17 rcvdpkt=16 utmaction="allow" countapp=1 osname="Ubuntu" mastersrcmac="a2:e9:00:ec:40:01" srcmac="a2:e9:00:ec:40:01" srcserver=0 utmref=65500-742</t>
  </si>
  <si>
    <t>Data Extractions</t>
  </si>
  <si>
    <t>Vendor Field Label</t>
  </si>
  <si>
    <t>Log Sample Data</t>
  </si>
  <si>
    <t>LR Schema Field</t>
  </si>
  <si>
    <t>date</t>
  </si>
  <si>
    <t>The date of the event.</t>
  </si>
  <si>
    <t>time</t>
  </si>
  <si>
    <t>The time of the event.</t>
  </si>
  <si>
    <t>logid</t>
  </si>
  <si>
    <t>The log ID.</t>
  </si>
  <si>
    <t>type</t>
  </si>
  <si>
    <t>The type of event.</t>
  </si>
  <si>
    <t>traffic</t>
  </si>
  <si>
    <t>&lt;vendorinfo&gt;</t>
  </si>
  <si>
    <t>subtype</t>
  </si>
  <si>
    <t>The subtype of the event.</t>
  </si>
  <si>
    <t>forward</t>
  </si>
  <si>
    <t>&lt;vmid&gt;</t>
  </si>
  <si>
    <t>level</t>
  </si>
  <si>
    <t>The level of the event.</t>
  </si>
  <si>
    <t>notice</t>
  </si>
  <si>
    <t>&lt;severity&gt;</t>
  </si>
  <si>
    <t>vd</t>
  </si>
  <si>
    <t>The virtual domain.</t>
  </si>
  <si>
    <t>vdom1</t>
  </si>
  <si>
    <t>eventtime</t>
  </si>
  <si>
    <t>The event time in epoch format.</t>
  </si>
  <si>
    <t>srcip</t>
  </si>
  <si>
    <t>The source IP address.</t>
  </si>
  <si>
    <t>10.0.0.1</t>
  </si>
  <si>
    <t>&lt;sip&gt;</t>
  </si>
  <si>
    <t>srcport</t>
  </si>
  <si>
    <t>The source port.</t>
  </si>
  <si>
    <t>&lt;sport&gt;</t>
  </si>
  <si>
    <t>srcintf</t>
  </si>
  <si>
    <t>The source interface.</t>
  </si>
  <si>
    <t>port12</t>
  </si>
  <si>
    <t>&lt;sinterface&gt;</t>
  </si>
  <si>
    <t>srcintfrole</t>
  </si>
  <si>
    <t>The role of the source interface.</t>
  </si>
  <si>
    <t>undefined</t>
  </si>
  <si>
    <t>dstip</t>
  </si>
  <si>
    <t>The destination IP address.</t>
  </si>
  <si>
    <t>10.0.0.2</t>
  </si>
  <si>
    <t>&lt;dip&gt;</t>
  </si>
  <si>
    <t>dstport</t>
  </si>
  <si>
    <t>The destination port.</t>
  </si>
  <si>
    <t>&lt;dport&gt;</t>
  </si>
  <si>
    <t>dstintf</t>
  </si>
  <si>
    <t>The destination interface.</t>
  </si>
  <si>
    <t>port11</t>
  </si>
  <si>
    <t>&lt;dinterface&gt;</t>
  </si>
  <si>
    <t>dstintfrole</t>
  </si>
  <si>
    <t>The role of the destination interface.</t>
  </si>
  <si>
    <t>srcuuid</t>
  </si>
  <si>
    <t>The source UUID.</t>
  </si>
  <si>
    <t>ae28f494-1111-51e9-f247-d1d2ce663f4b</t>
  </si>
  <si>
    <t>dstuuid</t>
  </si>
  <si>
    <t>The destination UUID.</t>
  </si>
  <si>
    <t>ae28f494-2222-51e9-f247-d1d2ce663f4b</t>
  </si>
  <si>
    <t>poluuid</t>
  </si>
  <si>
    <t>The policy UUID.</t>
  </si>
  <si>
    <t>ccb269e0-3333-51e9-a218-a397dd08b7eb</t>
  </si>
  <si>
    <t>sessionid</t>
  </si>
  <si>
    <t>The session ID.</t>
  </si>
  <si>
    <t>&lt;session&gt;</t>
  </si>
  <si>
    <t>proto</t>
  </si>
  <si>
    <t>The protocol.</t>
  </si>
  <si>
    <t>&lt;protnum&gt;</t>
  </si>
  <si>
    <t>action</t>
  </si>
  <si>
    <t>The action taken by the firewall.</t>
  </si>
  <si>
    <t>close</t>
  </si>
  <si>
    <t>&lt;action&gt;</t>
  </si>
  <si>
    <t>policyid</t>
  </si>
  <si>
    <t>The policy ID.</t>
  </si>
  <si>
    <t>policytype</t>
  </si>
  <si>
    <t>The type of policy.</t>
  </si>
  <si>
    <t>policy</t>
  </si>
  <si>
    <t>&lt;policy&gt;</t>
  </si>
  <si>
    <t>service</t>
  </si>
  <si>
    <t>The service.</t>
  </si>
  <si>
    <t>HTTP</t>
  </si>
  <si>
    <t>&lt;protname&gt;</t>
  </si>
  <si>
    <t>dstcountry</t>
  </si>
  <si>
    <t>The destination country.</t>
  </si>
  <si>
    <t>Canada</t>
  </si>
  <si>
    <t>srccountry</t>
  </si>
  <si>
    <t>The source country.</t>
  </si>
  <si>
    <t>Reserved</t>
  </si>
  <si>
    <t>trandisp</t>
  </si>
  <si>
    <t>The traffic disposition.</t>
  </si>
  <si>
    <t>snat</t>
  </si>
  <si>
    <t>transip</t>
  </si>
  <si>
    <t>The translated IP address.</t>
  </si>
  <si>
    <t>10.0.0.3</t>
  </si>
  <si>
    <t>&lt;snatip&gt;</t>
  </si>
  <si>
    <t>transport</t>
  </si>
  <si>
    <t>The transport.</t>
  </si>
  <si>
    <t>appid</t>
  </si>
  <si>
    <t>The application ID.</t>
  </si>
  <si>
    <t>app</t>
  </si>
  <si>
    <t>The application.</t>
  </si>
  <si>
    <t>HTTP.BROWSER_Firefox</t>
  </si>
  <si>
    <t>appcat</t>
  </si>
  <si>
    <t>The application category.</t>
  </si>
  <si>
    <t>Web.Client</t>
  </si>
  <si>
    <t>apprisk</t>
  </si>
  <si>
    <t>The application risk.</t>
  </si>
  <si>
    <t>elevated</t>
  </si>
  <si>
    <t>applist</t>
  </si>
  <si>
    <t>The application list.</t>
  </si>
  <si>
    <t>g-default</t>
  </si>
  <si>
    <t>duration</t>
  </si>
  <si>
    <t>The duration of the event.</t>
  </si>
  <si>
    <t>sentbyte</t>
  </si>
  <si>
    <t>The number of sent bytes.</t>
  </si>
  <si>
    <t>&lt;bytesin&gt;</t>
  </si>
  <si>
    <t>rcvdbyte</t>
  </si>
  <si>
    <t>The number of received bytes.</t>
  </si>
  <si>
    <t>&lt;bytesout&gt;</t>
  </si>
  <si>
    <t>sentpkt</t>
  </si>
  <si>
    <t>The number of sent packets.</t>
  </si>
  <si>
    <t>&lt;packetsin&gt;</t>
  </si>
  <si>
    <t>rcvdpkt</t>
  </si>
  <si>
    <t>The number of received packets.</t>
  </si>
  <si>
    <t>&lt;packetsout&gt;</t>
  </si>
  <si>
    <t>utmaction</t>
  </si>
  <si>
    <t>The UTM action.</t>
  </si>
  <si>
    <t>allow</t>
  </si>
  <si>
    <t>countapp</t>
  </si>
  <si>
    <t>The number of applications.</t>
  </si>
  <si>
    <t>&lt;quantity&gt;</t>
  </si>
  <si>
    <t>osname</t>
  </si>
  <si>
    <t>The operating system name.</t>
  </si>
  <si>
    <t>Ubuntu</t>
  </si>
  <si>
    <t>mastersrcmac</t>
  </si>
  <si>
    <t>The master source MAC address.</t>
  </si>
  <si>
    <t>a2:e9:00:ec:40:01</t>
  </si>
  <si>
    <t>srcmac</t>
  </si>
  <si>
    <t>The source MAC address.</t>
  </si>
  <si>
    <t>&lt;smac&gt;</t>
  </si>
  <si>
    <t>srcserver</t>
  </si>
  <si>
    <t>The source server.</t>
  </si>
  <si>
    <t>utmref</t>
  </si>
  <si>
    <t>The UTM reference.</t>
  </si>
  <si>
    <t>65500-742</t>
  </si>
  <si>
    <t>Sub-Rule Configuration</t>
  </si>
  <si>
    <t>tag1</t>
  </si>
  <si>
    <t>tag2</t>
  </si>
  <si>
    <t>tag3</t>
  </si>
  <si>
    <t>tag4</t>
  </si>
  <si>
    <t>tag5</t>
  </si>
  <si>
    <t>Rule Name</t>
  </si>
  <si>
    <t>Settings Modified</t>
  </si>
  <si>
    <t>Local</t>
  </si>
  <si>
    <t xml:space="preserve">Fortinet Fortigate Firewall </t>
  </si>
  <si>
    <t>Traffic : Local</t>
  </si>
  <si>
    <t>Operations : Network Traffic : General Traffic Log</t>
  </si>
  <si>
    <t>type="traffic" subtype="local"</t>
  </si>
  <si>
    <t>date=2019-05-10 time=11:50:48 logid="0001000014" type="traffic" subtype="local" level="notice" vd="vdom1" eventtime=1557514248379911176 srcip=10.1.1.1 srcport=62024 srcintf="port11" srcintfrole="undefined" dstip=10.1.1.2 dstport=443 dstintf="vdom1" dstintfrole="undefined" sessionid=107478 proto=6 action="server-rst" policyid=0 policytype="local-in-policy" service="HTTPS" dstcountry="Reserved" srccountry="Reserved" trandisp="noop" app="Web Management(HTTPS)" duration=5 sentbyte=1247 rcvdbyte=1719 sentpkt=5 rcvdpkt=6 appcat="unscanned"</t>
  </si>
  <si>
    <t>A unique identifier for the log event.</t>
  </si>
  <si>
    <t>The type of traffic event. In this case, it is a local traffic event.</t>
  </si>
  <si>
    <t>The subtype of the traffic event. In this case, it is a local traffic event.</t>
  </si>
  <si>
    <t>local</t>
  </si>
  <si>
    <t>The severity level of the log event. In this case, it is a notice.</t>
  </si>
  <si>
    <t>The vdom in which the log event occurred.</t>
  </si>
  <si>
    <t>The time at which the log event occurred.</t>
  </si>
  <si>
    <t>The source IP address of the traffic event.</t>
  </si>
  <si>
    <t>10.1.1.1</t>
  </si>
  <si>
    <t>The source port of the traffic event.</t>
  </si>
  <si>
    <t>The destination IP address of the traffic event.</t>
  </si>
  <si>
    <t>10.1.1.2</t>
  </si>
  <si>
    <t>The destination port of the traffic event.</t>
  </si>
  <si>
    <t>The country code of the destination IP address.</t>
  </si>
  <si>
    <t>The country code of the source IP address.</t>
  </si>
  <si>
    <t>The traffic disposition. In this case, it is a noop, which means that the traffic was not intercepted.</t>
  </si>
  <si>
    <t>noop</t>
  </si>
  <si>
    <t>The transport protocol of the traffic event. In this case, it is TCP.</t>
  </si>
  <si>
    <t>The duration of the traffic event in seconds.</t>
  </si>
  <si>
    <t>The number of bytes sent during the traffic event.</t>
  </si>
  <si>
    <t>The number of bytes received during the traffic event.</t>
  </si>
  <si>
    <t>The number of packets sent during the traffic event.</t>
  </si>
  <si>
    <t>The number of packets received during the traffic event.</t>
  </si>
  <si>
    <t>Web Management(HTTPS)</t>
  </si>
  <si>
    <t>The application category of the traffic event. In this case, the application has not been scanned by FortiGate.</t>
  </si>
  <si>
    <t>unscanned</t>
  </si>
  <si>
    <t>Multicast</t>
  </si>
  <si>
    <t>Traffic :  Multicast</t>
  </si>
  <si>
    <t>Traffic : Multicast</t>
  </si>
  <si>
    <t>Operations : Information : General IP Multicast Information</t>
  </si>
  <si>
    <t xml:space="preserve"> type="traffic" subtype="multicast"</t>
  </si>
  <si>
    <t>date=2019-03-31 time=06:42:54 logid="0002000012" type="traffic" subtype="multicast" level="notice" vd="vdom1" eventtime=1554039772 srcip=10.1.1.3 srcport=60660 srcintf="port25" srcintfrole="undefined" dstip=230.1.1.2 dstport=7878 dstintf="port3" dstintfrole="undefined" sessionid=1162 proto=17 action="accept" policyid=1 policytype="multicast-policy" service="udp/7878" dstcountry="Reserved" srccountry="Reserved" trandisp="noop" duration=22 sentbyte=5940 rcvdbyte=0 sentpkt=11 rcvdpkt=0 appcat="unscanned"</t>
  </si>
  <si>
    <t>The type of traffic event. In this case, it is a multicast traffic event.</t>
  </si>
  <si>
    <t>The subtype of the traffic event. In this case, it is a multicast traffic event.</t>
  </si>
  <si>
    <t>multicast</t>
  </si>
  <si>
    <t>10.1.1.3</t>
  </si>
  <si>
    <t>230.1.1.2</t>
  </si>
  <si>
    <t>The transport protocol of the traffic event. In this case, it is UDP.</t>
  </si>
  <si>
    <t>The application associated with the traffic event. In this case, the application has not been scanned by FortiGate.</t>
  </si>
  <si>
    <t>The service associated with the traffic event.</t>
  </si>
  <si>
    <t>udp/7878</t>
  </si>
  <si>
    <t>Sniffer</t>
  </si>
  <si>
    <t>Traffic : Sniffer</t>
  </si>
  <si>
    <t>Operations : Information : General Firewall Event</t>
  </si>
  <si>
    <t>type="traffic" subtype="sniffer"</t>
  </si>
  <si>
    <t>The type of traffic event. In this case, it is a sniffer traffic event.</t>
  </si>
  <si>
    <t>The subtype of the traffic event. In this case, it is a sniffer traffic event.</t>
  </si>
  <si>
    <t>sniffer</t>
  </si>
  <si>
    <t>root</t>
  </si>
  <si>
    <t>10.1.1.5</t>
  </si>
  <si>
    <t>10.1.1.4</t>
  </si>
  <si>
    <t>United States</t>
  </si>
  <si>
    <t>The traffic disposition. In this case, it is a snat, which means that the traffic was redirected to a different IP address.</t>
  </si>
  <si>
    <t>The IP address that the traffic was redirected to.</t>
  </si>
  <si>
    <t>0.0.0.0</t>
  </si>
  <si>
    <t>The transport protocol of the traffic event. In this case, it is not applicable since this is a sniffer traffic event.</t>
  </si>
  <si>
    <t>HTTPS</t>
  </si>
  <si>
    <t>The action taken by UTM for this traffic event.</t>
  </si>
  <si>
    <t>countips</t>
  </si>
  <si>
    <t>The number of IP addresses associated with this traffic event.</t>
  </si>
  <si>
    <t>crscore</t>
  </si>
  <si>
    <t>The confidence score of the traffic event.</t>
  </si>
  <si>
    <t>craction</t>
  </si>
  <si>
    <t>The action taken by FortiGuard for this traffic event.</t>
  </si>
  <si>
    <t>sentdelta</t>
  </si>
  <si>
    <t>The difference between the number of bytes sent in the first packet and the last packet.</t>
  </si>
  <si>
    <t>rcvddelta</t>
  </si>
  <si>
    <t>The difference between the number of bytes received in the first packet and the last packet.</t>
  </si>
  <si>
    <t>The UTM reference number for this traffic event.</t>
  </si>
  <si>
    <t>65162-7772</t>
  </si>
  <si>
    <t>Event</t>
  </si>
  <si>
    <t>SD Wan</t>
  </si>
  <si>
    <t>Event : SDWAN</t>
  </si>
  <si>
    <t>type="event" subtype="sdwan"</t>
  </si>
  <si>
    <t>date=2020-03-29 time=16:41:30 logid="0113022923" type="event" subtype="sdwan" level="notice" vd="root" eventtime=1585525290513555981 tz="-0700" logdesc="Virtual WAN Link status" eventtype="Health Check" healthcheck="ping1" slatargetid=1 oldvalue="1" newvalue="2" msg="Number of pass member changed."</t>
  </si>
  <si>
    <t>date=2020-03-29 time=16:51:27 logid="0113022925" type="event" subtype="sdwan" level="notice" vd="root" eventtime=1585525888177637570 tz="-0700" logdesc="Virtual WAN Link SLA information" eventtype="SLA" healthcheck="ping1" slatargetid=1 interface="R150" status="up" latency="0.013" jitter="0.001" packetloss="100.000%" inbandwidth="0kbps" outbandwidth="0kbps" bibandwidth="0kbps" slamap="0x0" metric="packetloss" msg="Health Check SLA status. SLA failed due to being over the performance metric threshold."</t>
  </si>
  <si>
    <t>The type of log event. In this case, it is an event.</t>
  </si>
  <si>
    <t>event</t>
  </si>
  <si>
    <t>The subtype of the log event. In this case, it is an sdwan event.</t>
  </si>
  <si>
    <t>sdwan</t>
  </si>
  <si>
    <t>tz</t>
  </si>
  <si>
    <t>The time zone of the log event.</t>
  </si>
  <si>
    <t>logdesc</t>
  </si>
  <si>
    <t>The description of the log event.</t>
  </si>
  <si>
    <t>Virtual WAN Link status</t>
  </si>
  <si>
    <t>eventtype</t>
  </si>
  <si>
    <t>The type of event. In this case, it is a health check event.</t>
  </si>
  <si>
    <t>Health Check</t>
  </si>
  <si>
    <t>&lt;objecttype&gt;</t>
  </si>
  <si>
    <t>healthcheck</t>
  </si>
  <si>
    <t>The health check that was performed.</t>
  </si>
  <si>
    <t>ping1</t>
  </si>
  <si>
    <t>&lt;object&gt;</t>
  </si>
  <si>
    <t>slatargetid</t>
  </si>
  <si>
    <t>The SLA target ID.</t>
  </si>
  <si>
    <t>oldvalue</t>
  </si>
  <si>
    <t>The old value of the metric.</t>
  </si>
  <si>
    <t>newvalue</t>
  </si>
  <si>
    <t>The new value of the metric.</t>
  </si>
  <si>
    <t>msg</t>
  </si>
  <si>
    <t>The message associated with the log event.</t>
  </si>
  <si>
    <t>Number of pass member changed.</t>
  </si>
  <si>
    <t>&lt;subject&gt;</t>
  </si>
  <si>
    <t>interface</t>
  </si>
  <si>
    <t>The interface that was monitored.</t>
  </si>
  <si>
    <t>R150</t>
  </si>
  <si>
    <t>status</t>
  </si>
  <si>
    <t>The status of the interface.</t>
  </si>
  <si>
    <t>up</t>
  </si>
  <si>
    <t>&lt;status&gt;</t>
  </si>
  <si>
    <t>latency</t>
  </si>
  <si>
    <t>The latency of the interface.</t>
  </si>
  <si>
    <t>jitter</t>
  </si>
  <si>
    <t>The jitter of the interface.</t>
  </si>
  <si>
    <t>packetloss</t>
  </si>
  <si>
    <t>The packet loss of the interface.</t>
  </si>
  <si>
    <t>inbandwidth</t>
  </si>
  <si>
    <t>The inbound bandwidth of the interface.</t>
  </si>
  <si>
    <t>0kbps</t>
  </si>
  <si>
    <t>outbandwidth</t>
  </si>
  <si>
    <t>The outbound bandwidth of the interface.</t>
  </si>
  <si>
    <t>bibandwidth</t>
  </si>
  <si>
    <t>The bidirectional bandwidth of the interface.</t>
  </si>
  <si>
    <t>slamap</t>
  </si>
  <si>
    <t>The SLA map value.</t>
  </si>
  <si>
    <t>0x0</t>
  </si>
  <si>
    <t>metric</t>
  </si>
  <si>
    <t>The metric that triggered the SLA failure.</t>
  </si>
  <si>
    <t>System</t>
  </si>
  <si>
    <t>Event : System</t>
  </si>
  <si>
    <t>Operations : Information : General System Message</t>
  </si>
  <si>
    <t>type="event" subtype="system"</t>
  </si>
  <si>
    <t>date=2019-05-13 time=11:20:54 logid="0100032001" type="event" subtype="system" level="information" vd="vdom1" eventtime=1557771654587081441 logdesc="Admin login successful" sn="1557771654" user="admin" ui="ssh(10.0.0.1)" method="ssh" srcip=10.1.1.1 dstip=10.1.1.2 action="login" status="success" reason="none" profile="super_admin" msg="Administrator admin logged in successfully from ssh(10.0.0.1)"</t>
  </si>
  <si>
    <t>The date of the log event.</t>
  </si>
  <si>
    <t>The time of the log event.</t>
  </si>
  <si>
    <t>The subtype of the log event. In this case, it is a system event.</t>
  </si>
  <si>
    <t>system</t>
  </si>
  <si>
    <t>The severity level of the log event. In this case, it is an information.</t>
  </si>
  <si>
    <t>information</t>
  </si>
  <si>
    <t>Admin login successful</t>
  </si>
  <si>
    <t>sn</t>
  </si>
  <si>
    <t>The serial number of the log event.</t>
  </si>
  <si>
    <t>&lt;serialnumber&gt;</t>
  </si>
  <si>
    <t>user</t>
  </si>
  <si>
    <t>The user who logged in.</t>
  </si>
  <si>
    <t>admin</t>
  </si>
  <si>
    <t>&lt;login&gt;</t>
  </si>
  <si>
    <t>ui</t>
  </si>
  <si>
    <t>The user interface that was used to log in. In this case, it was SSH from the IP address 172.16.200.254.</t>
  </si>
  <si>
    <t>ssh(10.0.0.1)</t>
  </si>
  <si>
    <t>method</t>
  </si>
  <si>
    <t>The method that was used to log in. In this case, it was SSH.</t>
  </si>
  <si>
    <t>ssh</t>
  </si>
  <si>
    <t>The source IP address of the log event.</t>
  </si>
  <si>
    <t>The destination IP address of the log event.</t>
  </si>
  <si>
    <t>The action that was taken. In this case, it was a login.</t>
  </si>
  <si>
    <t>login</t>
  </si>
  <si>
    <t>The status of the log event. In this case, it was a success.</t>
  </si>
  <si>
    <t>success</t>
  </si>
  <si>
    <t>reason</t>
  </si>
  <si>
    <t>The reason for the log event. In this case, there was no reason.</t>
  </si>
  <si>
    <t>none</t>
  </si>
  <si>
    <t>&lt;reason&gt;</t>
  </si>
  <si>
    <t>profile</t>
  </si>
  <si>
    <t>The profile of the user who logged in. In this case, it was the super_admin profile.</t>
  </si>
  <si>
    <t>super_admin</t>
  </si>
  <si>
    <t>Administrator admin logged in successfully from ssh(10.0.0.1)</t>
  </si>
  <si>
    <t>Router</t>
  </si>
  <si>
    <t>Event : Router</t>
  </si>
  <si>
    <t>Operations : Information : General Router Information</t>
  </si>
  <si>
    <t>type="event" subtype="router"</t>
  </si>
  <si>
    <t>date=2019-05-13 time=14:12:26 logid="0103020301" type="event" subtype="router" level="warning" vd="root" eventtime=1557781946677737955 logdesc="Routing log" msg="OSPF: RECV[Hello]: From 1.1.1.1 via port1:1.1.1.1: Invalid Area ID 0.0.0.0"</t>
  </si>
  <si>
    <t>The subtype of the log event. In this case, it is a router event.</t>
  </si>
  <si>
    <t>router</t>
  </si>
  <si>
    <t>The severity level of the log event. In this case, it is a warning.</t>
  </si>
  <si>
    <t>warning</t>
  </si>
  <si>
    <t>Routing log</t>
  </si>
  <si>
    <t>VPN</t>
  </si>
  <si>
    <t>Event : VPN</t>
  </si>
  <si>
    <t>Operations : Information : VPN Session Information</t>
  </si>
  <si>
    <t>type="event" subtype="vpn"</t>
  </si>
  <si>
    <t>date=2019-05-13 time=14:21:42 logid="0101037127" type="event" subtype="vpn" level="notice" vd="root" eventtime=1557782502722231889 logdesc="Progress IPsec phase 1" msg="progress IPsec phase 1" action="negotiate" remip=10.1.1.1 locip=10.1.1.100 remport=500 locport=500 outintf="port14" cookies="9091f4d4837ea71c/0000000000000000" user="N/A" group="N/A" xauthuser="N/A" xauthgroup="N/A" assignip=N/A vpntunnel="test" status="success" init="local" mode="main" dir="outbound" stage=1 role="initiator" result="OK"</t>
  </si>
  <si>
    <t>The subtype of the log event. In this case, it is a vpn event.</t>
  </si>
  <si>
    <t>vpn</t>
  </si>
  <si>
    <t>Progress IPsec phase 1</t>
  </si>
  <si>
    <t>progress IPsec phase 1</t>
  </si>
  <si>
    <t>The action that was taken. In this case, it was a negotiate.</t>
  </si>
  <si>
    <t>negotiate</t>
  </si>
  <si>
    <t>remip</t>
  </si>
  <si>
    <t>The remote IP address of the VPN tunnel.</t>
  </si>
  <si>
    <t>locip</t>
  </si>
  <si>
    <t>The local IP address of the VPN tunnel.</t>
  </si>
  <si>
    <t>10.1.1.100</t>
  </si>
  <si>
    <t>remport</t>
  </si>
  <si>
    <t>The remote port of the VPN tunnel.</t>
  </si>
  <si>
    <t>locport</t>
  </si>
  <si>
    <t>The local port of the VPN tunnel.</t>
  </si>
  <si>
    <t>outintf</t>
  </si>
  <si>
    <t>The outbound interface of the VPN tunnel.</t>
  </si>
  <si>
    <t>port14</t>
  </si>
  <si>
    <t>cookies</t>
  </si>
  <si>
    <t>The cookies used for the VPN tunnel.</t>
  </si>
  <si>
    <t>9091f4d4837ea71c/0000000000000000</t>
  </si>
  <si>
    <t>The user associated with the VPN tunnel.</t>
  </si>
  <si>
    <t>group</t>
  </si>
  <si>
    <t>The group associated with the VPN tunnel.</t>
  </si>
  <si>
    <t>&lt;group&gt;</t>
  </si>
  <si>
    <t>xauthuser</t>
  </si>
  <si>
    <t>The xauth user associated with the VPN tunnel.</t>
  </si>
  <si>
    <t>xauthgroup</t>
  </si>
  <si>
    <t>The xauth group associated with the VPN tunnel.</t>
  </si>
  <si>
    <t>assignip</t>
  </si>
  <si>
    <t>The assigned IP address for the VPN tunnel.</t>
  </si>
  <si>
    <t>vpntunnel</t>
  </si>
  <si>
    <t>The name of the VPN tunnel.</t>
  </si>
  <si>
    <t>test</t>
  </si>
  <si>
    <t>The status of the VPN tunnel.</t>
  </si>
  <si>
    <t>init</t>
  </si>
  <si>
    <t>The initiator of the VPN tunnel.</t>
  </si>
  <si>
    <t>mode</t>
  </si>
  <si>
    <t>The mode of the VPN tunnel.</t>
  </si>
  <si>
    <t>main</t>
  </si>
  <si>
    <t>dir</t>
  </si>
  <si>
    <t>The direction of the VPN tunnel.</t>
  </si>
  <si>
    <t>outbound</t>
  </si>
  <si>
    <t>stage</t>
  </si>
  <si>
    <t>The stage of the VPN tunnel.</t>
  </si>
  <si>
    <t>role</t>
  </si>
  <si>
    <t>The role of the VPN tunnel.</t>
  </si>
  <si>
    <t>initiator</t>
  </si>
  <si>
    <t>result</t>
  </si>
  <si>
    <t>The result of the VPN tunnel.</t>
  </si>
  <si>
    <t>OK</t>
  </si>
  <si>
    <t>&lt;result&gt;</t>
  </si>
  <si>
    <t>User</t>
  </si>
  <si>
    <t>Event : User</t>
  </si>
  <si>
    <t>Operations : Information : General User Information</t>
  </si>
  <si>
    <t>type="event" subtype="user"</t>
  </si>
  <si>
    <t>date=2019-05-13 time=15:55:56 logid="0102043008" type="event" subtype="user" level="notice" vd="root" eventtime=1557788156913809277 logdesc="Authentication success" srcip=10.1.1.1 dstip=10.1.1.2 policyid=1 interface="port10" user="bob" group="local-group1" authproto="TELNET(10.1.1.1)" action="authentication" status="success" reason="N/A" msg="User bob succeeded in authentication"</t>
  </si>
  <si>
    <t>The subtype of the log event. In this case, it is a user event.</t>
  </si>
  <si>
    <t>Authentication success</t>
  </si>
  <si>
    <t>The policy ID that was used for the authentication.</t>
  </si>
  <si>
    <t>The interface that was used for the authentication.</t>
  </si>
  <si>
    <t>port10</t>
  </si>
  <si>
    <t>The user who was authenticated.</t>
  </si>
  <si>
    <t>bob</t>
  </si>
  <si>
    <t>The group that the user belongs to.</t>
  </si>
  <si>
    <t>local-group1</t>
  </si>
  <si>
    <t>authproto</t>
  </si>
  <si>
    <t>The authentication protocol that was used.</t>
  </si>
  <si>
    <t>TELNET(10.1.1.1)</t>
  </si>
  <si>
    <t>The action that was taken. In this case, it was an authentication.</t>
  </si>
  <si>
    <t>authentication</t>
  </si>
  <si>
    <t>The status of the authentication.</t>
  </si>
  <si>
    <t>The reason for the authentication.</t>
  </si>
  <si>
    <t>User bob succeeded in authentication</t>
  </si>
  <si>
    <t>Endpoint</t>
  </si>
  <si>
    <t>Event : Endpoint</t>
  </si>
  <si>
    <t>Operations : Information : General Endpoint Message</t>
  </si>
  <si>
    <t>type="event" subtype="endpoint"</t>
  </si>
  <si>
    <t>date=2019-05-14 time=08:32:13 logid="0107045057" type="event" subtype="endpoint" level="information" vd="root" eventtime=1557847933900764210 logdesc="FortiClient connection added" action="add" status="success" license_limit="unlimited" used_for_type=4 connection_type="sslvpn" count=1 user="skubas" ip=10.1.1.1 name="VAN-200957-PC" fctuid="52C66FE08F724FE0B116DAD5062C96CD" msg="Add a FortiClient Connection."</t>
  </si>
  <si>
    <t>date=2019-05-14 time=08:19:38 logid="0107045058" type="event" subtype="endpoint" level="information" vd="root" eventtime=1557847179037488154 logdesc="FortiClient connection closed" action="close" status="success" license_limit="unlimited" used_for_type=5 connection_type="sslvpn" count=1 user="skubas" ip=10.1.1.1 name="VAN-200957-PC" fctuid="52C66FE08F724FE0B116DAD5062C96CD" msg="Close a FortiClient Connection."</t>
  </si>
  <si>
    <t>The subtype of the log event. In this case, it is an endpoint event.</t>
  </si>
  <si>
    <t>endpoint</t>
  </si>
  <si>
    <t>FortiClient connection added</t>
  </si>
  <si>
    <t>The action that was taken. In this case, it was an add.</t>
  </si>
  <si>
    <t>add</t>
  </si>
  <si>
    <t>&lt;action&gt;
&lt;tag1&gt;</t>
  </si>
  <si>
    <t>The status of the action. In this case, it was a success.</t>
  </si>
  <si>
    <t>license_limit</t>
  </si>
  <si>
    <t>The license limit for the FortiClient connection.</t>
  </si>
  <si>
    <t>unlimited</t>
  </si>
  <si>
    <t>used_for_type</t>
  </si>
  <si>
    <t>The type of FortiClient connection. In this case, it is a SSLVPN connection.</t>
  </si>
  <si>
    <t>connection_type</t>
  </si>
  <si>
    <t>The type of FortiClient connection.</t>
  </si>
  <si>
    <t>sslvpn</t>
  </si>
  <si>
    <t>count</t>
  </si>
  <si>
    <t>The number of FortiClient connections added.</t>
  </si>
  <si>
    <t>The user who added the FortiClient connection.</t>
  </si>
  <si>
    <t>skubas</t>
  </si>
  <si>
    <t>ip</t>
  </si>
  <si>
    <t>The IP address of the FortiClient connection.</t>
  </si>
  <si>
    <t>name</t>
  </si>
  <si>
    <t>The name of the FortiClient connection.</t>
  </si>
  <si>
    <t>VAN-200957-PC</t>
  </si>
  <si>
    <t>&lt;objectname&gt;</t>
  </si>
  <si>
    <t>fctuid</t>
  </si>
  <si>
    <t>The FortiClient connection ID.</t>
  </si>
  <si>
    <t>52C66FE08F724FE0B116DAD5062C96CD</t>
  </si>
  <si>
    <t>Add a FortiClient Connection.</t>
  </si>
  <si>
    <t>HA</t>
  </si>
  <si>
    <t>Event : HA</t>
  </si>
  <si>
    <t>Operations : Information : General HA Information</t>
  </si>
  <si>
    <t>type="event" subtype="ha"</t>
  </si>
  <si>
    <t>date=2019-05-10 time=09:53:18 logid="0108037894" type="event" subtype="ha" level="critical" vd="root" eventtime=1557507199208575235 logdesc="Virtual cluster member joined" msg="Virtual cluster detected member join" vcluster=1 ha_group=0 sn="FG2K5E3916900286"</t>
  </si>
  <si>
    <t>The subtype of the log event. In this case, it is a HA event.</t>
  </si>
  <si>
    <t>ha</t>
  </si>
  <si>
    <t>The severity level of the log event. In this case, it is a critical.</t>
  </si>
  <si>
    <t>critical</t>
  </si>
  <si>
    <t>Virtual cluster member joined</t>
  </si>
  <si>
    <t>Virtual cluster detected member join</t>
  </si>
  <si>
    <t>vcluster</t>
  </si>
  <si>
    <t>The virtual cluster ID.</t>
  </si>
  <si>
    <t>ha_group</t>
  </si>
  <si>
    <t>The HA group ID.</t>
  </si>
  <si>
    <t>The serial number of the FortiGate that joined the virtual cluster.</t>
  </si>
  <si>
    <t>FG2K5E3916900286</t>
  </si>
  <si>
    <t>Security Rating</t>
  </si>
  <si>
    <t>Event : Security Rating</t>
  </si>
  <si>
    <t>type="event" subtype="security-rating"</t>
  </si>
  <si>
    <t>date=2019-05-13 time=14:40:59 logid="0110052000" type="event" subtype="security-rating" level="notice" vd="root" eventtime=1557783659536252389 logdesc="Security Rating summary" auditid=1557783648 audittime=1557783659 auditscore="5.0" criticalcount=1 highcount=6 mediumcount=8 lowcount=0 passedcount=38</t>
  </si>
  <si>
    <t>The subtype of the log event. In this case, it is a security-rating event.</t>
  </si>
  <si>
    <t>security-rating</t>
  </si>
  <si>
    <t>Security Rating summary</t>
  </si>
  <si>
    <t>auditid</t>
  </si>
  <si>
    <t>The audit ID of the security rating.</t>
  </si>
  <si>
    <t>audittime</t>
  </si>
  <si>
    <t>The time at which the security rating was generated.</t>
  </si>
  <si>
    <t>auditscore</t>
  </si>
  <si>
    <t>The security rating score.</t>
  </si>
  <si>
    <t>"5.0"</t>
  </si>
  <si>
    <t>criticalcount</t>
  </si>
  <si>
    <t>The number of critical security issues.</t>
  </si>
  <si>
    <t>highcount</t>
  </si>
  <si>
    <t>The number of high security issues.</t>
  </si>
  <si>
    <t>mediumcount</t>
  </si>
  <si>
    <t>The number of medium security issues.</t>
  </si>
  <si>
    <t>lowcount</t>
  </si>
  <si>
    <t>The number of low security issues.</t>
  </si>
  <si>
    <t>passedcount</t>
  </si>
  <si>
    <t>The number of security issues that passed.</t>
  </si>
  <si>
    <t>WAD</t>
  </si>
  <si>
    <t>Event : WAD</t>
  </si>
  <si>
    <t>type="event" subtype="wad"</t>
  </si>
  <si>
    <t xml:space="preserve">date=2019-05-10 time=15:48:31 logid="0105048038" type="event" subtype="wad" level="error" vd="root" eventtime=1557528511221374615 logdesc="SSL Fatal Alert received" session_id=5f88ddd1 policyid=0 srcip=10.1.1.1 srcport=59880 dstip=10.1.1.2 dstport=443 action="receive" alert="2" desc="unknown ca" msg="SSL </t>
  </si>
  <si>
    <t>The subtype of the log event. In this case, it is a wad event.</t>
  </si>
  <si>
    <t>wad</t>
  </si>
  <si>
    <t>The severity level of the log event. In this case, it is an error.</t>
  </si>
  <si>
    <t>error</t>
  </si>
  <si>
    <t>SSL Fatal Alert received</t>
  </si>
  <si>
    <t>session_id</t>
  </si>
  <si>
    <t>The session ID of the SSL connection.</t>
  </si>
  <si>
    <t>5f88ddd1</t>
  </si>
  <si>
    <t>The policy ID that was used for the SSL connection.</t>
  </si>
  <si>
    <t>The source IP address of the SSL connection.</t>
  </si>
  <si>
    <t>The source port of the SSL connection.</t>
  </si>
  <si>
    <t>The destination IP address of the SSL connection.</t>
  </si>
  <si>
    <t>The destination port of the SSL connection.</t>
  </si>
  <si>
    <t>The action that was taken. In this case, it was a receive.</t>
  </si>
  <si>
    <t>receive</t>
  </si>
  <si>
    <t>alert</t>
  </si>
  <si>
    <t>The alert code that was received.</t>
  </si>
  <si>
    <t>desc</t>
  </si>
  <si>
    <t>The description of the alert code.</t>
  </si>
  <si>
    <t>unknown ca</t>
  </si>
  <si>
    <t>Wireless</t>
  </si>
  <si>
    <t>Event : Wireless</t>
  </si>
  <si>
    <t>Operations : Information : Wireless Activity</t>
  </si>
  <si>
    <t>type="event" subtype="wireless"</t>
  </si>
  <si>
    <t>date=2019-05-13 time=11:30:08 logid="0104043568" type="event" subtype="wireless" level="warning" vd="vdom1" eventtime=1557772208134721423 logdesc="Fake AP on air" ssid="fortinet" bssid="90:6c:ac:89:11:11" aptype=0 rate=130 radioband="802.11n" channel=6 action="fake-ap-on-air" manuf="Fortinet, Inc." security="WPA2 Personal" encryption="AES" signal=-93 noise=-95 live=353938 age=505 onwire="no" detectionmethod="N/A" stamac="N/A" apscan="N/A" sndetected="N/A" radioiddetected=0 stacount=0 snclosest="FP320C3X17001909" radioidclosest=0 apstatus=0 msg="Fake AP On-air fortinet 90:6c:ac:89:e1:fa chan 6 live 353938 age 505"</t>
  </si>
  <si>
    <t>The subtype of the log event. In this case, it is a wireless event.</t>
  </si>
  <si>
    <t>wireless</t>
  </si>
  <si>
    <t>Fake AP on air</t>
  </si>
  <si>
    <t>ssid</t>
  </si>
  <si>
    <t>The SSID of the fake AP.</t>
  </si>
  <si>
    <t>fortinet</t>
  </si>
  <si>
    <t>bssid</t>
  </si>
  <si>
    <t>The BSSID of the fake AP.</t>
  </si>
  <si>
    <t>90:6c:ac:89:11:11</t>
  </si>
  <si>
    <t>aptype</t>
  </si>
  <si>
    <t>The AP type of the fake AP.</t>
  </si>
  <si>
    <t>rate</t>
  </si>
  <si>
    <t>The data rate of the fake AP.</t>
  </si>
  <si>
    <t>radioband</t>
  </si>
  <si>
    <t>The radio band of the fake AP.</t>
  </si>
  <si>
    <t>"802.11n"</t>
  </si>
  <si>
    <t>channel</t>
  </si>
  <si>
    <t>The channel of the fake AP.</t>
  </si>
  <si>
    <t>The action that was taken. In this case, it was a fake-ap-on-air.</t>
  </si>
  <si>
    <t>fake-ap-on-air</t>
  </si>
  <si>
    <t>manuf</t>
  </si>
  <si>
    <t>The manufacturer of the fake AP.</t>
  </si>
  <si>
    <t>Fortinet, Inc.</t>
  </si>
  <si>
    <t>security</t>
  </si>
  <si>
    <t>The security of the fake AP.</t>
  </si>
  <si>
    <t>WPA2 Personal</t>
  </si>
  <si>
    <t>encryption</t>
  </si>
  <si>
    <t>The encryption of the fake AP.</t>
  </si>
  <si>
    <t>AES</t>
  </si>
  <si>
    <t>signal</t>
  </si>
  <si>
    <t>The signal strength of the fake AP.</t>
  </si>
  <si>
    <t>noise</t>
  </si>
  <si>
    <t>The noise level of the fake AP.</t>
  </si>
  <si>
    <t>live</t>
  </si>
  <si>
    <t>The number of seconds that the fake AP has been alive.</t>
  </si>
  <si>
    <t>age</t>
  </si>
  <si>
    <t>The age of the fake AP in seconds.</t>
  </si>
  <si>
    <t>onwire</t>
  </si>
  <si>
    <t>Whether the fake AP is on the wire.</t>
  </si>
  <si>
    <t>"no"</t>
  </si>
  <si>
    <t>detectionmethod</t>
  </si>
  <si>
    <t>The detection method used to detect the fake AP.</t>
  </si>
  <si>
    <t>"N/A"</t>
  </si>
  <si>
    <t>stamac</t>
  </si>
  <si>
    <t>The MAC address of the station associated with the fake AP.</t>
  </si>
  <si>
    <t>apscan</t>
  </si>
  <si>
    <t>Whether the fake AP was detected by a scan.</t>
  </si>
  <si>
    <t>sndetected</t>
  </si>
  <si>
    <t>The serial number of the FortiGate that detected the fake AP.</t>
  </si>
  <si>
    <t>radioiddetected</t>
  </si>
  <si>
    <t>The radio ID of the FortiGate that detected the fake AP.</t>
  </si>
  <si>
    <t>stacount</t>
  </si>
  <si>
    <t>The number of stations associated with the fake AP.</t>
  </si>
  <si>
    <t>snclosest</t>
  </si>
  <si>
    <t>The serial number of the FortiGate that is closest to the fake AP.</t>
  </si>
  <si>
    <t>FP320C3X17001909</t>
  </si>
  <si>
    <t>radioidclosest</t>
  </si>
  <si>
    <t>The radio ID of the FortiGate that is closest to the fake AP.</t>
  </si>
  <si>
    <t>apstatus</t>
  </si>
  <si>
    <t>The status of the fake AP.</t>
  </si>
  <si>
    <t>Fake AP On-air fortinet 90:6c:ac:89:e1:fa chan 6 live 353938 age 505</t>
  </si>
  <si>
    <t>Connector</t>
  </si>
  <si>
    <t>Event : Connector</t>
  </si>
  <si>
    <t>type="event" subtype="connector"</t>
  </si>
  <si>
    <t>date=2019-05-13 time=16:09:43 logid="0112053200" type="event" subtype="connector" level="information" vd="root" eventtime=1557788982 logdesc="IP address added" cfgobj="aws1" action="object-add" addr="10.1.1.1" cldobjid="i-0fe5a1ef16bb94796" netid="vpc-97e81cee" msg="connector object discovered in addr-obj aws1, 10.1.1.1"</t>
  </si>
  <si>
    <t>date=2019-05-13 time=16:09:43 logid="0112053201" type="event" subtype="connector" level="information" vd="root" eventtime=1557788982 logdesc="IP address removed" cfgobj="aws1" action="object-remove" addr="10.1.1.1" cldobjid="i-0fe5a1ef16bb94796" netid="vpc-97e81cee" msg="connector object removed in addr-obj aws1, 10.1.1.2"</t>
  </si>
  <si>
    <t>The subtype of the log event. In this case, it is a connector event.</t>
  </si>
  <si>
    <t>connector</t>
  </si>
  <si>
    <t>IP address added</t>
  </si>
  <si>
    <t>cfgobj</t>
  </si>
  <si>
    <t>The configuration object that was added.</t>
  </si>
  <si>
    <t>aws1</t>
  </si>
  <si>
    <t>The action that was taken. In this case, it was an object-add.</t>
  </si>
  <si>
    <t>object-add</t>
  </si>
  <si>
    <t>addr</t>
  </si>
  <si>
    <t>The IP address that was added.</t>
  </si>
  <si>
    <t>cldobjid</t>
  </si>
  <si>
    <t>The cloud object ID of the IP address.</t>
  </si>
  <si>
    <t>i-0fe5a1ef16bb94796</t>
  </si>
  <si>
    <t>netid</t>
  </si>
  <si>
    <t>The network ID of the IP address.</t>
  </si>
  <si>
    <t>vpc-97e81cee</t>
  </si>
  <si>
    <t>connector object discovered in addr-obj aws1, 10.1.1.1</t>
  </si>
  <si>
    <t>Fortiextender</t>
  </si>
  <si>
    <t>Event : FortiExtender</t>
  </si>
  <si>
    <t xml:space="preserve"> type="event" subtype="fortiextender"</t>
  </si>
  <si>
    <t>date=2019-02-20 time=09:57:22 logid="0111046400" type="event" subtype="fortiextender" level="notice" vd="root" eventtime=1550685442 logdesc="FortiExtender system activity"   action="FortiExtender Authorized"    msg="ext SN:FX04DN4N16002352 authorized"</t>
  </si>
  <si>
    <t>date=2019-02-20 time=09:51:42 logid="0111046401" type="event" subtype="fortiextender" level="notice" vd="root" eventtime=1550685102 logdesc="FortiExtender controller activity" sn="FX04DN4N16002352" ip=10.1.1.1 action="ext session-deauthed" msg="ext SN:FX04DN4N16002352 deauthorized"</t>
  </si>
  <si>
    <t>date=2019-02-20 time=10:02:26 logid="0111046409" type="event" subtype="fortiextender" level="information" vd="root" eventtime=1550685746 logdesc="Remote FortiExtender info activity" sn="FX04DN4N16002352" ip=10.1.1.1 action="Cellular Connected" imei="359376060400000" imsi="302720502300000" iccid="89302720403038100000" phonenumber="+16045000000" carrier="Rogers" plan="Rogers-plan" apn="N/A" service="LTE" msg="FX04DN4N16000000 STATE: sim with imsi:302720502300000 in slot:2 on carrier:Rogers connected"</t>
  </si>
  <si>
    <t>date=2019-02-20 time=10:33:57 logid="0111046407" type="event" subtype="fortiextender" level="warning" vd="root" eventtime=1550687636 logdesc="Remote FortiExtender warning activity" sn="FX04DN4N16002352" ip=10.1.1.1 action="Cellular Disconnected" imei="359376060442770" imsi="N/A" iccid="N/A" phonenumber="N/A" carrier="N/A" plan="N/A" apn="N/A" service="LTE" msg="FX04DN4N16000000 STATE: sim with imsi: in slot:2 on carrier:N/A disconnected"</t>
  </si>
  <si>
    <t>date=2019-02-20 time=10:02:24 logid="0111046409" type="event" subtype="fortiextender" level="information" vd="root" eventtime=1550685744 logdesc="Remote FortiExtender info activity" sn="FX04DN4N16002352" ip=10.1.1.1 action="Cellular Connecting" imei="359376060400000" imsi="302720502300000" iccid="89302720403038100000" phonenumber="+16045000000" carrier="Rogers" plan="Rogers-plan" apn="N/A" service="N/A" msg="FX04DN4N16000000 STATE: sim with imsi:302720502300000 in slot:2 on carrier:Rogers connecting</t>
  </si>
  <si>
    <t>date=2019-02-20 time=10:47:19 logid="0111046407" type="event" subtype="fortiextender" level="warning" vd="root" eventtime=1550688438 logdesc="Remote FortiExtender warning activity" sn="FX04DN4N16002352" ip=11.11.11.2 action="SIM Change" imei="N/A" slot=2 msg="FX04DN4N16000000 SIM: SIM2 is inserted"</t>
  </si>
  <si>
    <t>date=2019-02-20 time=10:57:50 logid="0111046407" type="event" subtype="fortiextender" level="warning" vd="root" eventtime=1550689069 logdesc="Remote FortiExtender warning activity" sn="FX04DN4N16002352" ip=11.11.11.2 action="SIM Change" imei="359376060400000" slot=1 msg="FX04DN4N16000000 SIM: SIM2 is plucked out"</t>
  </si>
  <si>
    <t>date=2019-02-20 time=12:02:24 logid="0111046407" type="event" subtype="fortiextender" level="warning" vd="root" eventtime=1550692942 logdesc="Remote FortiExtender warning activity" sn="FX04DN4N16000000" ip=10.1.1.1 action="SIM Switch" imei="359376060400000" reason="sim-switch can't take effect due to unavailability of 2 sim cards" msg="FX04DN4N16002352 SIM: sim-switch can't take effect due to unavailability of 2 sim cards"</t>
  </si>
  <si>
    <t>date=2019-02-19 time=18:08:46 logid="0111046409" type="event" subtype="fortiextender" level="information" vd="root" eventtime=1550628524 logdesc="Remote FortiExtender info activity" sn="FX04DN4N16002352" ip=11.11.11.2 action="Cellular Signal Statistics" imei="359376060442770" imsi="302720502300000" iccid="89302720403038100000" phonenumber="+16045000000" carrier="Rogers" plan="Rogers-plan" service="LTE" sinr="7.0 dB" rsrp="-89 dBm" rsrq="-16 dB" signalstrength="92 dBm" rssi="-54" temperature="40 C" apn="N/A" msg="FX04DN4N16002352 INFO:  LTE RSSI=-54dBm,RSRP=-89dBm,RSRQ=-16dB,SINR=7.0dB,BAND=B2,CELLID=061C700F,BW=15MHz,RXCH=1025,TXCH=19025,TAC=8AAC,TEMPERATURE=40 C"</t>
  </si>
  <si>
    <t>date=2019-02-19 time=18:09:46 logid="0111046409" type="event" subtype="fortiextender" level="information" vd="root" eventtime=1550628585 logdesc="Remote FortiExtender info activity" sn="FX04DN4N16002352" ip=11.11.11.2 action="Cellular Data Statistics" imei="359376060400000" imsi="302720502300000" iccid="89302720403038100000" phonenumber="+16045000000" carrier="Rogers" plan="Rogers-plan" service="LTE" rcvdbyte=7760 sentbyte=3315 msg="FX04DN4N16002352 INFO: SIM2 LTE, rx=7760, tx=3315, rx_diff=2538, tx_diff=567"</t>
  </si>
  <si>
    <t>The date of the log entry.</t>
  </si>
  <si>
    <t>The time of the log entry.</t>
  </si>
  <si>
    <t>The unique identifier for the log entry.</t>
  </si>
  <si>
    <t>The type of log event.</t>
  </si>
  <si>
    <t>The subtype of the log event.</t>
  </si>
  <si>
    <t>fortiextender</t>
  </si>
  <si>
    <t>The severity level of the log event.</t>
  </si>
  <si>
    <t>The virtual domain associated with the log event.</t>
  </si>
  <si>
    <t>The timestamp of the event.</t>
  </si>
  <si>
    <t>Description of the log event.</t>
  </si>
  <si>
    <t>FortiExtender system activity</t>
  </si>
  <si>
    <t>The action performed in the log event.</t>
  </si>
  <si>
    <t>FortiExtender Authorized</t>
  </si>
  <si>
    <t>Additional message or details of the log event.</t>
  </si>
  <si>
    <t>ext SN:FX04DN4N16002352 authorized</t>
  </si>
  <si>
    <t>Serial number or identifier.</t>
  </si>
  <si>
    <t>FX04DN4N16002352</t>
  </si>
  <si>
    <t>IP address associated with the log event.</t>
  </si>
  <si>
    <t>imei</t>
  </si>
  <si>
    <t>imsi</t>
  </si>
  <si>
    <t>IMEI number associated with the log event.</t>
  </si>
  <si>
    <t>iccid</t>
  </si>
  <si>
    <t>IMSI number associated with the log event.</t>
  </si>
  <si>
    <t>phonenumber</t>
  </si>
  <si>
    <t>ICCID associated with the log event.</t>
  </si>
  <si>
    <t>carrier</t>
  </si>
  <si>
    <t>Phone number associated with the log event.</t>
  </si>
  <si>
    <t>Rogers</t>
  </si>
  <si>
    <t>plan</t>
  </si>
  <si>
    <t>The mobile carrier associated with the log event.</t>
  </si>
  <si>
    <t>Rogers-plan</t>
  </si>
  <si>
    <t>apn</t>
  </si>
  <si>
    <t>The plan associated with the log event.</t>
  </si>
  <si>
    <t>Access Point Name associated with the log event.</t>
  </si>
  <si>
    <t>LTE</t>
  </si>
  <si>
    <t>The type of cellular service associated with the log event.</t>
  </si>
  <si>
    <t>sim-switch can't take effect due to unavailability of 2 sim cards</t>
  </si>
  <si>
    <t>sinr</t>
  </si>
  <si>
    <t>Reason for the SIM switch failure.</t>
  </si>
  <si>
    <t>7.0 dB</t>
  </si>
  <si>
    <t>rsrp</t>
  </si>
  <si>
    <t>Signal-to-Interference-plus-Noise Ratio measurement.</t>
  </si>
  <si>
    <t>-89 dBm</t>
  </si>
  <si>
    <t>rsrq</t>
  </si>
  <si>
    <t>Reference Signal Received Power measurement.</t>
  </si>
  <si>
    <t>-16 dB</t>
  </si>
  <si>
    <t>signalstrength</t>
  </si>
  <si>
    <t>Signal Strength measurement.</t>
  </si>
  <si>
    <t>92 dBm</t>
  </si>
  <si>
    <t>rssi</t>
  </si>
  <si>
    <t>Reference Signal Received Quality measurement.</t>
  </si>
  <si>
    <t>temperature</t>
  </si>
  <si>
    <t>Temperature measurement.</t>
  </si>
  <si>
    <t>40 C</t>
  </si>
  <si>
    <t>Number of bytes received.</t>
  </si>
  <si>
    <t>Number of bytes sent.</t>
  </si>
  <si>
    <t>rx_diff</t>
  </si>
  <si>
    <t>Difference in received bytes.</t>
  </si>
  <si>
    <t>tx_diff</t>
  </si>
  <si>
    <t>Difference in sent bytes.</t>
  </si>
  <si>
    <t>switch-controller</t>
  </si>
  <si>
    <t>Event : Switch-Controller</t>
  </si>
  <si>
    <t>type="event" subtype="switch-controller"</t>
  </si>
  <si>
    <t>date=2020-09-28 time=15:37:02 eventtime=1601332622257714795 tz="-0700" logid="0114032695" type="event" subtype="switch-controller" level="notice" vd="vdom1" logdesc="FortiSwitch link" user="Fortilink" sn="S248EPTF18001384" name="S248EPTF18000000" msg="port51 Module re-initialized to recover from ERROR state."</t>
  </si>
  <si>
    <t>date=2020-09-28 time=15:37:02 eventtime=1601332622255619520 tz="-0700" logid="0114032697" type="event" subtype="switch-controller" level="warning" vd="vdom1" logdesc="FortiSwitch switch" user="Fortilink" sn="S248EPTF18000000" name="S248EPTF18000000" msg="FortiLink: internal echo reply timed out"</t>
  </si>
  <si>
    <t>date=2020-09-28 time=15:37:01 eventtime=1601332621664809633 tz="-0700" logid="0114032605" type="event" subtype="switch-controller" level="information" vd="vdom1" logdesc="Switch-Controller Tunnel Up" user="Switch-Controller" ui="cu_acd" sn="S248EPTF18000000" name="S248EPTF18000000" msg="CAPWAP Tunnel Up (10.1.1.1)"</t>
  </si>
  <si>
    <t>date=2020-09-28 time=15:36:59 eventtime=1601332619501461995 tz="-0700" logid="0114022904" type="event" subtype="switch-controller" level="notice" vd="vdom1" logdesc="CAPUTP session status notification" user="Switch-Controller" ui="cu_acd" sn="S248EPTF18000000" name="S248EPTF18000000" msg="S248EPTF18000000 Connected via session join" action="session-join" srcip=10.1.1.1</t>
  </si>
  <si>
    <t>date=2020-09-28 time=15:36:26 eventtime=1601332560434649361 tz="-0700" logid="0114032601" type="event" subtype="switch-controller" level="information" vd="vdom1" logdesc="Switch-Controller discovered" user="daemon_admin" ui="cmdbsvr" sn="S524DN4K16000000" name="S524DN4K16000116" msg="S524DN4K16000116 Discovered"</t>
  </si>
  <si>
    <t>date=2020-09-28 time=15:36:26 eventtime=1601332560405228924 tz="-0700" logid="0114032601" type="event" subtype="switch-controller" level="information" vd="vdom1" logdesc="Switch-Controller discovered" user="daemon_admin" ui="cmdbsvr" sn="S248EPTF18000000" name="S248EPTF18000000" msg="S248EPTF18001827 Discovered"</t>
  </si>
  <si>
    <t>date=2020-09-28 time=15:36:26 eventtime=1601332560336851635 tz="-0700" logid="0114032601" type="event" subtype="switch-controller" level="information" vd="vdom1" logdesc="Switch-Controller discovered" user="daemon_admin" ui="cmdbsvr" sn="S248EPTF18000000" name="S248EPTF18000000" msg="S248EPTF18001384 Discovered"</t>
  </si>
  <si>
    <t>Timezone offset.</t>
  </si>
  <si>
    <t>FortiSwitch link</t>
  </si>
  <si>
    <t>User associated with the log event.</t>
  </si>
  <si>
    <t>Fortilink</t>
  </si>
  <si>
    <t>S248EPTF18001384</t>
  </si>
  <si>
    <t>Name associated with the log event.</t>
  </si>
  <si>
    <t>S248EPTF18000000</t>
  </si>
  <si>
    <t>port51 Module re-initialized to recover from ERROR state.</t>
  </si>
  <si>
    <t>User interface associated with the log event.</t>
  </si>
  <si>
    <t>cu_acd</t>
  </si>
  <si>
    <t>RestAPI</t>
  </si>
  <si>
    <t>Event : Rest-Api</t>
  </si>
  <si>
    <t>type="event" subtype="rest-api"</t>
  </si>
  <si>
    <t>date=2022-02-02 time=15:52:09 eventtime=1643845930263415066 tz="-0800" logid="0116047301" type="event" subtype="rest-api" level="information" vd="root" logdesc="REST API request success" user="admin" ui="GUI(192.168.1.69)" method="GET" path="system.usb-log" status="200" url="/api/v2/monitor/system/usb-log?vdom=root"</t>
  </si>
  <si>
    <t>date=2022-02-02 time=15:52:06 eventtime=1643845926774931021 tz="-0800" logid="0116047301" type="event" subtype="rest-api" level="information" vd="root" logdesc="REST API request success" user="admin" ui="GUI(192.168.1.69)" method="GET" path="license.status" status="200" url="/api/v2/monitor/license/status?vdom=root"</t>
  </si>
  <si>
    <t>date=2022-02-02 time=15:52:06 eventtime=1643845926764579729 tz="-0800" logid="0116047301" type="event" subtype="rest-api" level="information" vd="root" logdesc="REST API request success" user="admin" ui="GUI(192.168.1.69)" method="GET" path="log.fortianalyzer.setting" status="200" url="/api/v2/cmdb/log.fortianalyzer/setting?vdom=root"</t>
  </si>
  <si>
    <t>date=2022-02-02 time=15:52:06 eventtime=1643845926762372766 tz="-0800" logid="0116047301" type="event" subtype="rest-api" level="information" vd="root" logdesc="REST API request success" user="admin" ui="GUI(192.168.1.69)" method="GET" path="system.sandbox" action="connection" status="200" url="/api/v2/monitor/system/sandbox/connection?vdom=root"</t>
  </si>
  <si>
    <t>date=2022-02-02 time=15:52:06 eventtime=1643845926755869998 tz="-0800" logid="0116047301" type="event" subtype="rest-api" level="information" vd="root" logdesc="REST API request success" user="admin" ui="GUI(192.168.1.69)" method="GET" path="system.firmware" status="200" url="/api/v2/monitor/system/firmware?vdom=root"</t>
  </si>
  <si>
    <t>"-0800"</t>
  </si>
  <si>
    <t>The subtype of the log event. In this case, it is a REST API event.</t>
  </si>
  <si>
    <t>rest-api</t>
  </si>
  <si>
    <t>REST API request success</t>
  </si>
  <si>
    <t>The user who made the REST API request.</t>
  </si>
  <si>
    <t>The user interface that was used to make the REST API request.</t>
  </si>
  <si>
    <t>The HTTP method that was used to make the REST API request.</t>
  </si>
  <si>
    <t>GET</t>
  </si>
  <si>
    <t>&lt;command&gt;</t>
  </si>
  <si>
    <t>path</t>
  </si>
  <si>
    <t>The path of the REST API endpoint that was called.</t>
  </si>
  <si>
    <t>system.usb-log</t>
  </si>
  <si>
    <t>The status code of the REST API response.</t>
  </si>
  <si>
    <t>url</t>
  </si>
  <si>
    <t>The URL of the REST API request.</t>
  </si>
  <si>
    <t>/api/v2/monitor/system/usb-log?vdom=root</t>
  </si>
  <si>
    <t>&lt;url&gt;</t>
  </si>
  <si>
    <t>UTM</t>
  </si>
  <si>
    <t>Antivirus</t>
  </si>
  <si>
    <t>UTM : Antivirus</t>
  </si>
  <si>
    <t>Operations : Information : General Antivirus Information</t>
  </si>
  <si>
    <t>type="utm" subtype="virus"</t>
  </si>
  <si>
    <t>date=2019-05-13 time=11:45:03 logid="0211008192" type="utm" subtype="virus" eventtype="infected" level="warning" vd="vdom1" eventtime=1557773103767393505 msg="File is infected." action="blocked" service="HTTP" sessionid=359260 srcip=10.1.1.1 dstip=10.1.1.2 srcport=60446 dstport=80 srcintf="port12" srcintfrole="undefined" dstintf="port11" dstintfrole="undefined" policyid=4 proto=6 direction="incoming" filename="eicar.com" quarskip="File-was-not-quarantined." virus="EICAR_TEST_FILE" dtype="Virus" ref="http://www.fortinet.com/ve?vn=EICAR_TEST_FILE" virusid=2172 url="http://172.16.200.55/virus/eicar.com" profile="g-default" agent="curl/7.47.0" analyticscksum="275a021bbfb6489e54d471899f7db9d1663fc695ec2fe2a2c4538aabf651fd0f" analyticssubmit="false" crscore=50 craction=2 crlevel="critical"</t>
  </si>
  <si>
    <t>utm</t>
  </si>
  <si>
    <t>virus</t>
  </si>
  <si>
    <t>The type of event (infected in this case).</t>
  </si>
  <si>
    <t>infected</t>
  </si>
  <si>
    <t>File is infected.</t>
  </si>
  <si>
    <t>The action taken by the system (blocked in this case).</t>
  </si>
  <si>
    <t>blocked</t>
  </si>
  <si>
    <t>The service or protocol associated with the log event.</t>
  </si>
  <si>
    <t>The ID of the session associated with the log event.</t>
  </si>
  <si>
    <t>The source IP address of the communication.</t>
  </si>
  <si>
    <t>The destination IP address of the communication.</t>
  </si>
  <si>
    <t>The source port number.</t>
  </si>
  <si>
    <t>The destination port number.</t>
  </si>
  <si>
    <t>The ID of the policy associated with the log event.</t>
  </si>
  <si>
    <t>The protocol number.</t>
  </si>
  <si>
    <t>direction</t>
  </si>
  <si>
    <t>The direction of the traffic (incoming in this case).</t>
  </si>
  <si>
    <t>incoming</t>
  </si>
  <si>
    <t>filename</t>
  </si>
  <si>
    <t>The name of the infected file.</t>
  </si>
  <si>
    <t>eicar.com</t>
  </si>
  <si>
    <t>quarskip</t>
  </si>
  <si>
    <t>Information about quarantine status (not quarantined in this case).</t>
  </si>
  <si>
    <t>File-was-not-quarantined.</t>
  </si>
  <si>
    <t>The name of the virus detected.</t>
  </si>
  <si>
    <t>EICAR_TEST_FILE</t>
  </si>
  <si>
    <t>&lt;threatname&gt;</t>
  </si>
  <si>
    <t>dtype</t>
  </si>
  <si>
    <t>The type of detection (virus in this case).</t>
  </si>
  <si>
    <t>Virus</t>
  </si>
  <si>
    <t>ref</t>
  </si>
  <si>
    <t>Reference link for more information about the virus.</t>
  </si>
  <si>
    <t>http://www.fortinet.com/ve?vn=EICAR_TEST_FILE</t>
  </si>
  <si>
    <t>virusid</t>
  </si>
  <si>
    <t>The ID of the detected virus.</t>
  </si>
  <si>
    <t>&lt;threatid&gt;</t>
  </si>
  <si>
    <t>The URL associated with the infected file.</t>
  </si>
  <si>
    <t>http://172.16.200.55/virus/eicar.com</t>
  </si>
  <si>
    <t>The profile applied to the log event.</t>
  </si>
  <si>
    <t>agent</t>
  </si>
  <si>
    <t>The user agent or client software associated with the event.</t>
  </si>
  <si>
    <t>curl/7.47.0</t>
  </si>
  <si>
    <t>&lt;useragent&gt;</t>
  </si>
  <si>
    <t>analyticscksum</t>
  </si>
  <si>
    <t>Checksum for analytics.</t>
  </si>
  <si>
    <t>275a021bbfb6489e54d471899f7db9d1663fc695ec2fe2a2c4538aabf651fd0f</t>
  </si>
  <si>
    <t>analyticssubmit</t>
  </si>
  <si>
    <t>Indicates whether analytics were submitted (false in this case).</t>
  </si>
  <si>
    <t>The score assigned by the content reputation feature.</t>
  </si>
  <si>
    <t>The action taken based on the content reputation score.</t>
  </si>
  <si>
    <t>crlevel</t>
  </si>
  <si>
    <t>The level of content reputation.</t>
  </si>
  <si>
    <t>Web Filter</t>
  </si>
  <si>
    <t>UTM : Web-Filter</t>
  </si>
  <si>
    <t>Operations : Information : General Web Filter Message</t>
  </si>
  <si>
    <t>type="utm" subtype="webfilter"</t>
  </si>
  <si>
    <t>date=2019-05-13 time=16:29:45 logid="0316013056" type="utm" subtype="webfilter" eventtype="ftgd_blk" level="warning" vd="vdom1" eventtime=1557790184975119738 policyid=1 sessionid=381780 srcip=10.1.1.1 srcport=44258 srcintf="port12" srcintfrole="undefined" dstip=10.1.1.2 dstport=80 dstintf="port11" dstintfrole="undefined" proto=6 service="HTTP" hostname="morrishittu.ddns.net" profile="test-webfilter" action="blocked" reqtype="direct" url="/" sentbyte=84 rcvdbyte=0 direction="outgoing" msg="URL belongs to a denied category in policy" method="domain" cat=26 catdesc="Malicious Websites" crscore=30 craction=4194304 crlevel="high"</t>
  </si>
  <si>
    <t>The type of log event. In this case, it is an UTM event.</t>
  </si>
  <si>
    <t>The subtype of the log event. In this case, it is a webfilter event.</t>
  </si>
  <si>
    <t>webfilter</t>
  </si>
  <si>
    <t>The event type of the log event. In this case, it is a ftgd_blk event.</t>
  </si>
  <si>
    <t>ftgd_blk</t>
  </si>
  <si>
    <t>The policy ID that was used to block the URL.</t>
  </si>
  <si>
    <t>The session ID of the web browsing session.</t>
  </si>
  <si>
    <t>The source IP address of the web browsing session.</t>
  </si>
  <si>
    <t>The source port of the web browsing session.</t>
  </si>
  <si>
    <t>The source interface of the web browsing session.</t>
  </si>
  <si>
    <t>The role of the source interface of the web browsing session.</t>
  </si>
  <si>
    <t>The destination IP address of the web browsing session.</t>
  </si>
  <si>
    <t>The destination port of the web browsing session.</t>
  </si>
  <si>
    <t>The destination interface of the web browsing session.</t>
  </si>
  <si>
    <t>The role of the destination interface of the web browsing session.</t>
  </si>
  <si>
    <t>The protocol of the web browsing session.</t>
  </si>
  <si>
    <t>The service of the web browsing session.</t>
  </si>
  <si>
    <t>hostname</t>
  </si>
  <si>
    <t>The hostname of the blocked URL.</t>
  </si>
  <si>
    <t>morrishittu.ddns.net</t>
  </si>
  <si>
    <t>The profile that was used to block the URL.</t>
  </si>
  <si>
    <t>test-webfilter</t>
  </si>
  <si>
    <t>The action that was taken. In this case, it was a blocked.</t>
  </si>
  <si>
    <t>reqtype</t>
  </si>
  <si>
    <t>The request type.</t>
  </si>
  <si>
    <t>direct</t>
  </si>
  <si>
    <t>The URL that was blocked.</t>
  </si>
  <si>
    <t>/</t>
  </si>
  <si>
    <t>The number of bytes sent in the HTTP request.</t>
  </si>
  <si>
    <t>The number of bytes received in the HTTP response.</t>
  </si>
  <si>
    <t>The direction of the web browsing session.</t>
  </si>
  <si>
    <t>outgoing</t>
  </si>
  <si>
    <t>URL belongs to a denied category in policy</t>
  </si>
  <si>
    <t>The method used to block the URL.</t>
  </si>
  <si>
    <t>domain</t>
  </si>
  <si>
    <t>cat</t>
  </si>
  <si>
    <t>The category of the blocked URL.</t>
  </si>
  <si>
    <t>catdesc</t>
  </si>
  <si>
    <t>The description of the category of the blocked URL.</t>
  </si>
  <si>
    <t>Malicious Websites</t>
  </si>
  <si>
    <t>The risk score of the blocked URL.</t>
  </si>
  <si>
    <t>The action to be taken if the URL is encountered again.</t>
  </si>
  <si>
    <t>The severity level of the blocked URL.</t>
  </si>
  <si>
    <t>high</t>
  </si>
  <si>
    <t>DNS</t>
  </si>
  <si>
    <t>UTM : DNS</t>
  </si>
  <si>
    <t>Operations : Information : General DNS Information</t>
  </si>
  <si>
    <t>type="utm" subtype="dns"</t>
  </si>
  <si>
    <t>date=2019-05-15 time=15:05:49 logid="1501054802" type="utm" subtype="dns" eventtype="dns-response" level="notice" vd="vdom1" eventtime=1557957949740931155 policyid=1 sessionid=6887 srcip=10.1.1.1 srcport=50002 srcintf="port12" srcintfrole="undefined" dstip=10.1.1.2 dstport=53 dstintf="port11" dstintfrole="undefined" proto=17 profile="dnsfilter_fgd" srcmac="a2:e9:00:ec:40:41" xid=57945 qname="changelogs.ubuntu.com" qtype="AAAA" qtypeval=28 qclass="IN" ipaddr="2001:67c:0000:0000::11" msg="Domain is monitored" action="pass" cat=52 catdesc="Information Technology"</t>
  </si>
  <si>
    <t>dns</t>
  </si>
  <si>
    <t>The type of DNS event (DNS response in this case).</t>
  </si>
  <si>
    <t>dns-response</t>
  </si>
  <si>
    <t>The protocol number (UDP in this case).</t>
  </si>
  <si>
    <t>dnsfilter_fgd</t>
  </si>
  <si>
    <t>a2:e9:00:ec:40:41</t>
  </si>
  <si>
    <t>xid</t>
  </si>
  <si>
    <t>The transaction ID of the DNS query.</t>
  </si>
  <si>
    <t>qname</t>
  </si>
  <si>
    <t>The queried domain name.</t>
  </si>
  <si>
    <t>changelogs.ubuntu.com</t>
  </si>
  <si>
    <t>qtype</t>
  </si>
  <si>
    <t>The queried record type (AAAA in this case).</t>
  </si>
  <si>
    <t>AAAA</t>
  </si>
  <si>
    <t>qtypeval</t>
  </si>
  <si>
    <t>The numerical value of the queried record type.</t>
  </si>
  <si>
    <t>qclass</t>
  </si>
  <si>
    <t>The queried record class.</t>
  </si>
  <si>
    <t>IN</t>
  </si>
  <si>
    <t>ipaddr</t>
  </si>
  <si>
    <t>The resolved IP address for the queried domain.</t>
  </si>
  <si>
    <t>2001:67c:0000:0000::11</t>
  </si>
  <si>
    <t>Additional message or description of the log event.</t>
  </si>
  <si>
    <t>Domain is monitored</t>
  </si>
  <si>
    <t>The action taken by the system (pass in this case).</t>
  </si>
  <si>
    <t>pass</t>
  </si>
  <si>
    <t>The ID of the category associated with the log event.</t>
  </si>
  <si>
    <t>The description of the category.</t>
  </si>
  <si>
    <t>Information Technology</t>
  </si>
  <si>
    <t>app-ctrl</t>
  </si>
  <si>
    <t>UTM : App-Ctrl</t>
  </si>
  <si>
    <t>Operations : Information : General Application Control Message</t>
  </si>
  <si>
    <t>type="utm" subtype="app-ctrl"</t>
  </si>
  <si>
    <t>date=2019-05-15 time=18:03:36 logid="1059028704" type="utm" subtype="app-ctrl" eventtype="app-ctrl-all" level="information" vd="root" eventtime=1557968615 appid=40568 srcip=10.1.1.1 dstip=10.1.1.2 srcport=50798 dstport=443 srcintf="port10" srcintfrole="lan" dstintf="port9" dstintfrole="wan" proto=6 service="HTTPS" direction="outgoing" policyid=1 sessionid=4414 applist="block-social.media" appcat="Web.Client" app="HTTPS.BROWSER" action="pass" hostname="www.dailymotion.com" incidentserialno=1962906680 url="/" msg="Web.Client: HTTPS.BROWSER," apprisk="medium" scertcname="*.dailymotion.com" scertissuer="DigiCert SHA2 High Assurance Server CA"</t>
  </si>
  <si>
    <t>The type of application control event (all applications in this case).</t>
  </si>
  <si>
    <t>app-ctrl-all</t>
  </si>
  <si>
    <t>lan</t>
  </si>
  <si>
    <t>port9</t>
  </si>
  <si>
    <t>wan</t>
  </si>
  <si>
    <t>The protocol number (TCP in this case).</t>
  </si>
  <si>
    <t>The service or protocol being used.</t>
  </si>
  <si>
    <t>The direction of the communication (outgoing in this case).</t>
  </si>
  <si>
    <t>block-social.media</t>
  </si>
  <si>
    <t>The category of the application.</t>
  </si>
  <si>
    <t>The name of the application.</t>
  </si>
  <si>
    <t>HTTPS.BROWSER</t>
  </si>
  <si>
    <t>The hostname of the communication.</t>
  </si>
  <si>
    <t>www.dailymotion.com</t>
  </si>
  <si>
    <t>&lt;sname&gt;</t>
  </si>
  <si>
    <t>incidentserialno</t>
  </si>
  <si>
    <t>The serial number of the incident.</t>
  </si>
  <si>
    <t>The URL of the communication.</t>
  </si>
  <si>
    <t>Web.Client: HTTPS.BROWSER,</t>
  </si>
  <si>
    <t>The risk level associated with the application.</t>
  </si>
  <si>
    <t>medium</t>
  </si>
  <si>
    <t>scertcname</t>
  </si>
  <si>
    <t>The common name of the server certificate.</t>
  </si>
  <si>
    <t>*.dailymotion.com</t>
  </si>
  <si>
    <t>scertissuer</t>
  </si>
  <si>
    <t>The issuer of the server certificate.</t>
  </si>
  <si>
    <t>DigiCert SHA2 High Assurance Server CA</t>
  </si>
  <si>
    <t>IPS</t>
  </si>
  <si>
    <t>UTM : IPS</t>
  </si>
  <si>
    <t>Operations : Information : General IPS Message</t>
  </si>
  <si>
    <t>type="utm" subtype="ips"</t>
  </si>
  <si>
    <t>date=2019-05-15 time=17:56:41 logid="0419016384" type="utm" subtype="ips" eventtype="signature" level="alert" vd="root" eventtime=1557968201 severity="critical" srcip=10.1.1.1 srccountry="Reserved" dstip=10.1.1.2 srcintf="port10" srcintfrole="lan" dstintf="port9" dstintfrole="wan" sessionid=4017 action="dropped" proto=6 service="HTTP" policyid=1 attack="Adobe.Flash.newfunction.Handling.Code.Execution" srcport=46810 dstport=80 hostname="10.1.1.2" url="/ips/sig1.pdf" direction="incoming" attackid=23305 profile="block-critical-ips" ref="http://www.fortinet.com/ids/VID23305" incidentserialno=582633933 msg="applications3: Adobe.Flash.newfunction.Handling.Code.Execution," crscore=50 craction=4096 crlevel="critical"</t>
  </si>
  <si>
    <t>The subtype of the log event (intrusion prevention system).</t>
  </si>
  <si>
    <t>ips</t>
  </si>
  <si>
    <t>The type of IPS event (signature-based in this case).</t>
  </si>
  <si>
    <t>signature</t>
  </si>
  <si>
    <t>severity</t>
  </si>
  <si>
    <t>The severity level of the IPS event.</t>
  </si>
  <si>
    <t>The country associated with the source IP address.</t>
  </si>
  <si>
    <t>The action taken by the system (dropped in this case).</t>
  </si>
  <si>
    <t>dropped</t>
  </si>
  <si>
    <t>attack</t>
  </si>
  <si>
    <t>The name of the detected attack.</t>
  </si>
  <si>
    <t>Adobe.Flash.newfunction.Handling.Code.Execution</t>
  </si>
  <si>
    <t>/ips/sig1.pdf</t>
  </si>
  <si>
    <t>The direction of the communication (incoming in this case).</t>
  </si>
  <si>
    <t>attackid</t>
  </si>
  <si>
    <t>The ID of the detected attack.</t>
  </si>
  <si>
    <t>The IPS profile associated with the log event.</t>
  </si>
  <si>
    <t>block-critical-ips</t>
  </si>
  <si>
    <t>Reference link for more information about the attack.</t>
  </si>
  <si>
    <t>http://www.fortinet.com/ids/VID23305</t>
  </si>
  <si>
    <t>applications3: Adobe.Flash.newfunction.Handling.Code.Execution,</t>
  </si>
  <si>
    <t>The risk score associated with the event.</t>
  </si>
  <si>
    <t>The action taken based on the risk score (4096 in this case).</t>
  </si>
  <si>
    <t>The risk level associated with the event.</t>
  </si>
  <si>
    <t>Anamoly</t>
  </si>
  <si>
    <t>UTM : Anamoly</t>
  </si>
  <si>
    <t>type="utm" subtype="anomaly"</t>
  </si>
  <si>
    <t>date=2019-05-13 time=17:05:59 logid="0720018433" type="utm" subtype="anomaly" eventtype="anomaly" level="alert" vd="vdom1" eventtime=1557792359461869329 severity="critical" srcip=10.1.1.1 srccountry="Reserved" dstip=10.1.1.2 srcintf="port12" srcintfrole="undefined" sessionid=0 action="clear_session" proto=1 service="PING" count=1 attack="icmp_flood" icmpid="0x1474" icmptype="0x08" icmpcode="0x00" attackid=16777316 policyid=1 policytype="DoS-policy" ref="http://www.fortinet.com/ids/VID16777316" msg="anomaly: icmp_flood, 51 &gt; threshold 50" crscore=50 craction=4096 crlevel="critical"</t>
  </si>
  <si>
    <t>anomaly</t>
  </si>
  <si>
    <t>The specific type of anomaly event.</t>
  </si>
  <si>
    <t>The severity level of the anomaly event.</t>
  </si>
  <si>
    <t>The action taken by the system (clearing the session in this case).</t>
  </si>
  <si>
    <t>clear_session</t>
  </si>
  <si>
    <t>The protocol number (ICMP in this case).</t>
  </si>
  <si>
    <t>PING</t>
  </si>
  <si>
    <t>The count of ICMP packets observed.</t>
  </si>
  <si>
    <t>icmp_flood</t>
  </si>
  <si>
    <t>icmpid</t>
  </si>
  <si>
    <t>The ICMP packet identifier.</t>
  </si>
  <si>
    <t>0x1474</t>
  </si>
  <si>
    <t>icmptype</t>
  </si>
  <si>
    <t>The ICMP packet type.</t>
  </si>
  <si>
    <t>0x08</t>
  </si>
  <si>
    <t>icmpcode</t>
  </si>
  <si>
    <t>The ICMP packet code.</t>
  </si>
  <si>
    <t>0x00</t>
  </si>
  <si>
    <t>The type of policy associated with the log event.</t>
  </si>
  <si>
    <t>DoS-policy</t>
  </si>
  <si>
    <t>http://www.fortinet.com/ids/VID16777316</t>
  </si>
  <si>
    <t>anomaly: icmp_flood, 51 &gt; threshold 50</t>
  </si>
  <si>
    <t>DLP</t>
  </si>
  <si>
    <t>UTM : DLP</t>
  </si>
  <si>
    <t>Operations : Information : General DLP Message</t>
  </si>
  <si>
    <t>type="utm" subtype="dlp"</t>
  </si>
  <si>
    <t>date=2019-05-15 time=17:45:30 logid="0954024576" type="utm" subtype="dlp" eventtype="dlp" level="warning" vd="root" eventtime=1557967528 filteridx=1 dlpextra="dlp-file-size11" filtertype="file-type" filtercat="file" severity="medium" policyid=1 sessionid=3423 epoch=1740880646 eventid=0 srcip=10.1.1.1 srcport=50354 srcintf="port10" srcintfrole="lan" dstip=10.1.1.2 dstport=443 dstintf="port9" dstintfrole="wan" proto=6 service="HTTPS" filetype="pdf" direction="incoming" action="block" hostname="fortinetweb.s3.amazonaws.com" url="/docs.fortinet.com/v2/attachments/be3d0e3d-4b62-11e9-94bf-00505692583a/FortiOS_6.2.0_Log_Reference.pdf" agent="Wget/1.17.1" filename="FortiOS_6.2.0_Log_Reference.pdf" filesize=16360 profile="dlp-file-type-test"</t>
  </si>
  <si>
    <t>dlp</t>
  </si>
  <si>
    <t>The specific type of DLP event.</t>
  </si>
  <si>
    <t>filteridx</t>
  </si>
  <si>
    <t>The index of the applied filter.</t>
  </si>
  <si>
    <t>dlpextra</t>
  </si>
  <si>
    <t>Extra information related to DLP, specifically file size.</t>
  </si>
  <si>
    <t>dlp-file-size11</t>
  </si>
  <si>
    <t>filtertype</t>
  </si>
  <si>
    <t>The type of filter applied.</t>
  </si>
  <si>
    <t>file-type</t>
  </si>
  <si>
    <t>filtercat</t>
  </si>
  <si>
    <t>The category of the filter applied.</t>
  </si>
  <si>
    <t>file</t>
  </si>
  <si>
    <t>The severity level of the DLP event.</t>
  </si>
  <si>
    <t>epoch</t>
  </si>
  <si>
    <t>The epoch time of the event.</t>
  </si>
  <si>
    <t>eventid</t>
  </si>
  <si>
    <t>The ID of the event.</t>
  </si>
  <si>
    <t>The source port of the communication.</t>
  </si>
  <si>
    <t>The destination port of the communication.</t>
  </si>
  <si>
    <t>filetype</t>
  </si>
  <si>
    <t>The type of file being transferred.</t>
  </si>
  <si>
    <t>pdf</t>
  </si>
  <si>
    <t>The direction of the communication.</t>
  </si>
  <si>
    <t>The action taken by the system (blocking in this case).</t>
  </si>
  <si>
    <t>block</t>
  </si>
  <si>
    <t>The hostname associated with the communication.</t>
  </si>
  <si>
    <t>fortinetweb.s3.amazonaws.com</t>
  </si>
  <si>
    <t>The URL accessed or requested.</t>
  </si>
  <si>
    <t>/docs.fortinet.com/v2/attachments/be3d0e3d-4b62-11e9-94bf-00505692583a/FortiOS_6.2.0_Log_Reference.pdf</t>
  </si>
  <si>
    <t>The user agent or client used for the communication.</t>
  </si>
  <si>
    <t>Wget/1.17.1</t>
  </si>
  <si>
    <t>The name of the file being transferred.</t>
  </si>
  <si>
    <t>FortiOS_6.2.0_Log_Reference.pdf</t>
  </si>
  <si>
    <t>filesize</t>
  </si>
  <si>
    <t>The size of the file being transferred.</t>
  </si>
  <si>
    <t>The DLP profile or test applied.</t>
  </si>
  <si>
    <t>dlp-file-type-test</t>
  </si>
  <si>
    <t>SSH</t>
  </si>
  <si>
    <t>UTM : SSH</t>
  </si>
  <si>
    <t>Operations : Information : SSH Information-Only Event</t>
  </si>
  <si>
    <t>type="utm" subtype="ssh"</t>
  </si>
  <si>
    <t>date=2019-05-15 time=16:18:17 logid="1601061010" type="utm" subtype="ssh" eventtype="ssh-channel" level="warning" vd="vdom1" eventtime=1557962296 policyid=1 sessionid=344 profile="ssh-deepscan" srcip=10.1.100.11 srcport=43580 dstip=172.16.200.44 dstport=22 srcintf="port21" srcintfrole="undefined" dstintf="port23" dstintfrole="undefined" proto=6 action="blocked" direction="outgoing" login="root" channeltype="shell"</t>
  </si>
  <si>
    <t>2019-05-15</t>
  </si>
  <si>
    <t>The specific type of SSH event.</t>
  </si>
  <si>
    <t>ssh-channel</t>
  </si>
  <si>
    <t>The SSH profile.</t>
  </si>
  <si>
    <t>ssh-deepscan</t>
  </si>
  <si>
    <t>10.1.100.11</t>
  </si>
  <si>
    <t>172.16.200.44</t>
  </si>
  <si>
    <t>port21</t>
  </si>
  <si>
    <t>port23</t>
  </si>
  <si>
    <t>The Source Username</t>
  </si>
  <si>
    <t>channeltype</t>
  </si>
  <si>
    <t>shell</t>
  </si>
  <si>
    <t>SSL</t>
  </si>
  <si>
    <t>UTM : SSL</t>
  </si>
  <si>
    <t>Operations : Information : General SSL/VPN Session Information</t>
  </si>
  <si>
    <t>type="utm" subtype="ssl"</t>
  </si>
  <si>
    <t>date=2019-03-28 time=10:44:53 logid="1700062002" type="utm" subtype="ssl" eventtype="ssl-anomalies" level="warning" vd="vdom1" eventtime=1553795092 policyid=1 sessionid=10796 service="HTTPS" srcip=10.1.100.66 srcport=43602 dstip=10.154.89.105 dstport=443 srcintf="port2" srcintfrole="undefined" dstintf="port3" dstintfrole="undefined" proto=6 action="blocked" msg="Server certificate blocked" reason="block-cert-invalid"</t>
  </si>
  <si>
    <t>date=2020-02-07 time=11:10:58 logid="1702062101" type="utm" subtype="ssl" eventtype="ssl-negotiation" level="warning" vd="vdom1" eventtime=1581102658589415731 tz="-0800" action="blocked" policyid=1 sessionid=141224 service="HTTPS" profile="deep-inspection-clone" srcip=10.1.100.66 srcport=33666 dstip=172.16.200.99 dstport=8080 srcintf="port2" srcintfrole="undefined" dstintf="port3" dstintfrole="undefined" proto=6 eventsubtype="unexpected-protocol" msg="SSL connection is blocked."</t>
  </si>
  <si>
    <t>date=2021-06-17 time=16:55:26 eventtime=1623974126384215772 tz="-0700" logid="1702062103" type="utm" subtype="ssl" eventtype="ssl-negotiation" level="information" vd="vdom1" action="info" policyid=1 sessionid=6361 service="HTTPS" profile="deep-inspection-clone" srcip=10.1.100.11 srcport=48892 dstip=18.140.21.233 dstport=443 srcintf="port2" srcintfrole="undefined" dstintf="port3" dstintfrole="undefined" srcuuid="8666f70e-cfb9-51eb-4991-9012417d69da" dstuuid="8666f70e-cfb9-51eb-4991-9012417d69da" proto=6 sni="www.fortinet.com" eventsubtype="server-cert-info" hostname="www.fortinet.com" notbefore="2021-03-13T00:00:00Z" notafter="2022-04-13T23:59:59Z" issuer="DigiCert TLS RSA SHA256 2020 CA1" cn="*.fortinet.com" san="*.fortinet.com;www.fortinet.com;fortinet.com" sn="000aa00a00000a00000a00a00aa000a0" ski="df9152b605cc18b346efb34de6907275dbdb2b3c" certhash="1d55cd34a1ed5d3f69bd825a45e04fbd2efba937" keyalgo="rsa" keysize=2048</t>
  </si>
  <si>
    <t>date=2021-06-17 time=16:55:26 eventtime=1623974126411127210 tz="-0700" logid="1702062103" type="utm" subtype="ssl" eventtype="ssl-negotiation" level="information" vd="vdom1" action="info" policyid=1 sessionid=6361 service="HTTPS" profile="deep-inspection-clone" srcip=10.1.100.11 srcport=48892 dstip=18.140.21.233 dstport=443 srcintf="port2" srcintfrole="undefined" dstintf="port3" dstintfrole="undefined" srcuuid="8666f70e-cfb9-51eb-4991-9012417d69da" dstuuid="8666f70e-cfb9-51eb-4991-9012417d69da" proto=6 tlsver="tls1.3" sni="www.fortinet.com" cipher="0x1302" authalgo="rsa" kxproto="ecdhe" kxcurve="secp256r1" eventsubtype="handshake-done" hostname="www.fortinet.com" handshake="full" mitm="yes"</t>
  </si>
  <si>
    <t>2019-03-28</t>
  </si>
  <si>
    <t>ssl</t>
  </si>
  <si>
    <t>The specific type of SSL event.</t>
  </si>
  <si>
    <t>ssl-anomalies</t>
  </si>
  <si>
    <t>10.1.100.66</t>
  </si>
  <si>
    <t>10.154.89.105</t>
  </si>
  <si>
    <t>port2</t>
  </si>
  <si>
    <t>port3</t>
  </si>
  <si>
    <t>Server certificate blocked</t>
  </si>
  <si>
    <t>The reason for the log event.</t>
  </si>
  <si>
    <t>block-cert-invalid</t>
  </si>
  <si>
    <t>The SSL profile.</t>
  </si>
  <si>
    <t>eventsubtype</t>
  </si>
  <si>
    <t>sni</t>
  </si>
  <si>
    <t>&lt;dname&gt;</t>
  </si>
  <si>
    <t>notbefore</t>
  </si>
  <si>
    <t>notafter</t>
  </si>
  <si>
    <t>issuer</t>
  </si>
  <si>
    <t>cn</t>
  </si>
  <si>
    <t>san</t>
  </si>
  <si>
    <t>ski</t>
  </si>
  <si>
    <t>certhash</t>
  </si>
  <si>
    <t>&lt;hash&gt;</t>
  </si>
  <si>
    <t>keyalgo</t>
  </si>
  <si>
    <t>keysize</t>
  </si>
  <si>
    <t>&lt;size&gt;</t>
  </si>
  <si>
    <t>tlsver</t>
  </si>
  <si>
    <t>cipher</t>
  </si>
  <si>
    <t>authalgo</t>
  </si>
  <si>
    <t>kxproto</t>
  </si>
  <si>
    <t>kxcurve</t>
  </si>
  <si>
    <t>handshake</t>
  </si>
  <si>
    <t>mitm</t>
  </si>
  <si>
    <t>&lt;snatport&gt;</t>
  </si>
  <si>
    <t>&lt;amount&gt;</t>
  </si>
  <si>
    <t>GUI(10.1.1.1)</t>
  </si>
  <si>
    <t>&lt;account&gt;</t>
  </si>
  <si>
    <t>&lt;objectype&gt;</t>
  </si>
  <si>
    <t>Updated mappings for following sheet
"Traffic-Forward" sheet (app, appcat, apprisk, countapp, service, utmaction)
"Traffic-local" sheet (app, appcat).
"Traffic-multicast" (app and service).
"Traffic-sniffer" (app, service, utmaction)
"Event-SD Wan" (interface)</t>
  </si>
  <si>
    <t>date=2019-05-10 time=14:18:54 logid="0004000017" type="traffic" subtype="sniffer" level="notice" vd="root" eventtime=1557523134021045897 srcip=10.1.1.5 srcport=50463 srcintf="port1" srcintfrole="undefined" dstip=10.1.1.4 dstport=443 dstintf="port1" dstintfrole="undefined" sessionid=2193276 proto=6 action="accept" policyid=3 policytype="sniffer" service="HTTPS" dstcountry="United States" srccountry="Canada" trandisp="snat" transip=0.0.0.0 transport=0 duration=10 sentbyte=0 rcvdbyte=0 sentpkt=0 rcvdpkt=0 appcat="unscanned" utmaction="allow" countips=1 crscore=5 craction=32768 sentdelta=0 rcvddelta=0 utmref=65162-7772</t>
  </si>
  <si>
    <t>port1</t>
  </si>
  <si>
    <t>accept</t>
  </si>
  <si>
    <t>UTM-IPS &lt;url&gt; tag removed from url field</t>
  </si>
  <si>
    <t>date=2023-09-06 time=00:40:26 devname="FW1" devid="FW01" eventtime=1693975226253518828 tz="-0400" logid="0103020300" type="event" subtype="router" level="warning" vd="root" logdesc="BGP neighbor status changed" msg="BGP: %BGP-5-ADJCHANGE: VRF 0 neighbor 10.1.1.1 Down Peer being deleted"</t>
  </si>
  <si>
    <t>date=2023-09-06 time=19:03:54 devname="FW1" devid="FW01" eventtime=1694041433860867381 tz="-0400" logid="0103020300" type="event" subtype="router" level="warning" vd="root" logdesc="BGP neighbor status changed" msg="BGP: %BGP-5-ADJCHANGE: VRF 0 neighbor 10.1.1.1 Up "</t>
  </si>
  <si>
    <t>devname</t>
  </si>
  <si>
    <t>devid</t>
  </si>
  <si>
    <r>
      <t xml:space="preserve">&lt;subject&gt;
</t>
    </r>
    <r>
      <rPr>
        <sz val="12"/>
        <color rgb="FFFF0000"/>
        <rFont val="Calibri"/>
        <family val="2"/>
        <scheme val="minor"/>
      </rPr>
      <t>&lt;objecttype&gt;</t>
    </r>
    <r>
      <rPr>
        <sz val="12"/>
        <color theme="1"/>
        <rFont val="Calibri"/>
        <family val="2"/>
        <scheme val="minor"/>
      </rPr>
      <t xml:space="preserve">
</t>
    </r>
    <r>
      <rPr>
        <sz val="12"/>
        <color rgb="FF00B050"/>
        <rFont val="Calibri"/>
        <family val="2"/>
        <scheme val="minor"/>
      </rPr>
      <t>&lt;sip&gt;</t>
    </r>
    <r>
      <rPr>
        <sz val="12"/>
        <color theme="1"/>
        <rFont val="Calibri"/>
        <family val="2"/>
        <scheme val="minor"/>
      </rPr>
      <t xml:space="preserve">
</t>
    </r>
    <r>
      <rPr>
        <sz val="12"/>
        <color rgb="FF7030A0"/>
        <rFont val="Calibri"/>
        <family val="2"/>
        <scheme val="minor"/>
      </rPr>
      <t>&lt;status&gt;</t>
    </r>
  </si>
  <si>
    <t>date=2023-09-06 time=19:03:05 devname="FW1" devid="FW01" eventtime=1694041385249942054 tz="-0400" logid="0103020300" type="event" subtype="router" level="warning" vd="root" logdesc="BGP neighbor status changed" msg="BGP: %BGP-5-ADJCHANGE: VRF 0 neighbor 10.1.1.1 Down BGP Notification FSM-ERR"</t>
  </si>
  <si>
    <t>15/9/2023</t>
  </si>
  <si>
    <t>Event-Router:
updated the mapping for "msg" field
added new vendorfields devname,devid as per the shared logs</t>
  </si>
  <si>
    <r>
      <t xml:space="preserve">OSPF: RECV[Hello]: From 1.1.1.1 via port1:1.1.1.1: Invalid Area ID 0.0.0.0
OR
BGP: %BGP-5-ADJCHANGE: </t>
    </r>
    <r>
      <rPr>
        <sz val="12"/>
        <color rgb="FFFF0000"/>
        <rFont val="Calibri"/>
        <family val="2"/>
        <scheme val="minor"/>
      </rPr>
      <t>VRF 0</t>
    </r>
    <r>
      <rPr>
        <sz val="12"/>
        <color theme="1"/>
        <rFont val="Calibri"/>
        <family val="2"/>
        <scheme val="minor"/>
      </rPr>
      <t xml:space="preserve"> neighbor </t>
    </r>
    <r>
      <rPr>
        <sz val="12"/>
        <color rgb="FF00B050"/>
        <rFont val="Calibri"/>
        <family val="2"/>
        <scheme val="minor"/>
      </rPr>
      <t>10.1.1.1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rgb="FF7030A0"/>
        <rFont val="Calibri"/>
        <family val="2"/>
        <scheme val="minor"/>
      </rPr>
      <t xml:space="preserve">Down </t>
    </r>
    <r>
      <rPr>
        <sz val="12"/>
        <rFont val="Calibri"/>
        <family val="2"/>
        <scheme val="minor"/>
      </rPr>
      <t>BGP</t>
    </r>
    <r>
      <rPr>
        <sz val="12"/>
        <color theme="1"/>
        <rFont val="Calibri"/>
        <family val="2"/>
        <scheme val="minor"/>
      </rPr>
      <t xml:space="preserve"> Notification FSM-ERR
OR
BGP: %BGP-5-ADJCHANGE:</t>
    </r>
    <r>
      <rPr>
        <sz val="12"/>
        <color rgb="FFFF0000"/>
        <rFont val="Calibri"/>
        <family val="2"/>
        <scheme val="minor"/>
      </rPr>
      <t xml:space="preserve"> VRF 0</t>
    </r>
    <r>
      <rPr>
        <sz val="12"/>
        <color theme="1"/>
        <rFont val="Calibri"/>
        <family val="2"/>
        <scheme val="minor"/>
      </rPr>
      <t xml:space="preserve"> neighbor </t>
    </r>
    <r>
      <rPr>
        <sz val="12"/>
        <color rgb="FF00B050"/>
        <rFont val="Calibri"/>
        <family val="2"/>
        <scheme val="minor"/>
      </rPr>
      <t>10.1.1.1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rgb="FF7030A0"/>
        <rFont val="Calibri"/>
        <family val="2"/>
        <scheme val="minor"/>
      </rPr>
      <t>Up</t>
    </r>
  </si>
  <si>
    <t>Catch-All</t>
  </si>
  <si>
    <t>Operations : Information : General Information</t>
  </si>
  <si>
    <t>&lt;severity&gt;
&lt;tag1&gt;</t>
  </si>
  <si>
    <t>General Emergency</t>
  </si>
  <si>
    <t>General Alert</t>
  </si>
  <si>
    <t>General Critical</t>
  </si>
  <si>
    <t>General Error</t>
  </si>
  <si>
    <t>General Warning</t>
  </si>
  <si>
    <t>General Information</t>
  </si>
  <si>
    <t>General Debug</t>
  </si>
  <si>
    <t>Operations : Critical : General Emergency Log Message</t>
  </si>
  <si>
    <t>Operations : Warning : General Alert</t>
  </si>
  <si>
    <t>Operations : Critical : General Critical</t>
  </si>
  <si>
    <t>Operations : Error : General Error</t>
  </si>
  <si>
    <t>Operations : Warning : General Warning</t>
  </si>
  <si>
    <t>Operations : Information : General Debug Message</t>
  </si>
  <si>
    <t>EMRG</t>
  </si>
  <si>
    <t>ALRT</t>
  </si>
  <si>
    <t>CRIT</t>
  </si>
  <si>
    <t>WARN</t>
  </si>
  <si>
    <t>NOTE</t>
  </si>
  <si>
    <t>INFO</t>
  </si>
  <si>
    <t>ERRR</t>
  </si>
  <si>
    <t>DBUG</t>
  </si>
  <si>
    <t>Operations : Information : General Notice</t>
  </si>
  <si>
    <r>
      <t>&lt;LOC7:</t>
    </r>
    <r>
      <rPr>
        <sz val="12"/>
        <color rgb="FFFF0000"/>
        <rFont val="Calibri"/>
        <family val="2"/>
        <scheme val="minor"/>
      </rPr>
      <t>WARN</t>
    </r>
    <r>
      <rPr>
        <sz val="12"/>
        <color theme="1"/>
        <rFont val="Calibri"/>
        <family val="2"/>
        <scheme val="minor"/>
      </rPr>
      <t>&gt;</t>
    </r>
  </si>
  <si>
    <t>General Notice</t>
  </si>
  <si>
    <t>18/9/2023</t>
  </si>
  <si>
    <t>Added Catch-All Rule</t>
  </si>
  <si>
    <t>25/9/2023</t>
  </si>
  <si>
    <t>Operations : Network Traffic : WAN Optimization Traffic</t>
  </si>
  <si>
    <t>Operations : Network Traffic : Web Cache Traffic</t>
  </si>
  <si>
    <t>Operations : Network Allow : Traffic Allowed by Proxy</t>
  </si>
  <si>
    <t>Operations : Network Traffic : Connection Failed</t>
  </si>
  <si>
    <t>timeout</t>
  </si>
  <si>
    <t>reset</t>
  </si>
  <si>
    <t>Operations : Network Traffic : Connection Reset</t>
  </si>
  <si>
    <t>LOG_ID_TRAFFIC_START_LOCAL</t>
  </si>
  <si>
    <t>start</t>
  </si>
  <si>
    <t>server-rst</t>
  </si>
  <si>
    <t>local-in-policy</t>
  </si>
  <si>
    <t>port25</t>
  </si>
  <si>
    <t>multicast-policy</t>
  </si>
  <si>
    <t>Event Mail Sent Fail</t>
  </si>
  <si>
    <t>Security : Failed Activity : General Failed Activity</t>
  </si>
  <si>
    <t>Event Reportd Report Success</t>
  </si>
  <si>
    <t>Operations : Information : Report Generation</t>
  </si>
  <si>
    <t>Operations : Information : Report Deleted</t>
  </si>
  <si>
    <t>Event Session Clash</t>
  </si>
  <si>
    <t>Event VWL Volume Status</t>
  </si>
  <si>
    <t>Event DHCP Ack</t>
  </si>
  <si>
    <t>Event DHCP Stat</t>
  </si>
  <si>
    <t>Event DHCP Client Lease</t>
  </si>
  <si>
    <t>Event Auth Snmp Query Failed</t>
  </si>
  <si>
    <t>Event Admin Login Succ</t>
  </si>
  <si>
    <t>Event Admin Login Fail</t>
  </si>
  <si>
    <t>Event Admin Login Logout</t>
  </si>
  <si>
    <t>Event Log Roll</t>
  </si>
  <si>
    <t>Event Admin Login Disable</t>
  </si>
  <si>
    <t>Event Log Del Dir</t>
  </si>
  <si>
    <t>Event Log Del File</t>
  </si>
  <si>
    <t>Event Log Roll Forticron</t>
  </si>
  <si>
    <t>Event Report Deleted</t>
  </si>
  <si>
    <t>Event Report Deleted GUI</t>
  </si>
  <si>
    <t>Event Backup Conf By Scp</t>
  </si>
  <si>
    <t>Event Conf Chg</t>
  </si>
  <si>
    <t>Event Sys Perf</t>
  </si>
  <si>
    <t>Event Upd Fgt Succ</t>
  </si>
  <si>
    <t>Event Upd Fsa Virdb</t>
  </si>
  <si>
    <t>Event Nac Quarantine</t>
  </si>
  <si>
    <t>Event Delete Object</t>
  </si>
  <si>
    <t>Event Config Attr</t>
  </si>
  <si>
    <t>Event Add Object Attribute</t>
  </si>
  <si>
    <t>Event DSSCC Exec</t>
  </si>
  <si>
    <t>Event Ext Remote</t>
  </si>
  <si>
    <t>Router BGP NB Stat Chg</t>
  </si>
  <si>
    <t>Router VZ Log</t>
  </si>
  <si>
    <t>Router Clear</t>
  </si>
  <si>
    <t>VPN Neg I P1 Error</t>
  </si>
  <si>
    <t>VPN Neg Progress P1 Error</t>
  </si>
  <si>
    <t>VPN Neg Progress P2 Error</t>
  </si>
  <si>
    <t>VPN Conn Stats</t>
  </si>
  <si>
    <t>VPN Neg Generic P2 Notif IKEV2</t>
  </si>
  <si>
    <t>VPN Neg I P1 Error IKEV2</t>
  </si>
  <si>
    <t>VPN Neg Progress P1 Notif IKEV2</t>
  </si>
  <si>
    <t>VPN Neg Progress P1 Error IKEV2</t>
  </si>
  <si>
    <t>VPN Neg Progress P2 Notif IKEV2</t>
  </si>
  <si>
    <t>VPN Install SA IKEV2</t>
  </si>
  <si>
    <t>VPN Conn Stats IKEV2</t>
  </si>
  <si>
    <t>VPN Event SSL VPN User Tunnel UP</t>
  </si>
  <si>
    <t>VPN Event SSL VPN User Tunnel DOWN</t>
  </si>
  <si>
    <t>VPN Event SSL VPN User SSL Login Fail</t>
  </si>
  <si>
    <t>VPN Event SSL VPN Session Cert Ok</t>
  </si>
  <si>
    <t>VPN Event SSL VPN Session New Con</t>
  </si>
  <si>
    <t>VPN Event SSL VPN Session Tunnel Up</t>
  </si>
  <si>
    <t>VPN Event SSL VPN Session Tunnel Down</t>
  </si>
  <si>
    <t>VPN Event SSL VPN Session Tunnel Stats</t>
  </si>
  <si>
    <t>VPN Event VPN Cert Regen</t>
  </si>
  <si>
    <t>User FSSO SVR Status</t>
  </si>
  <si>
    <t>Operations : Information : General Active Directory Information</t>
  </si>
  <si>
    <t>User Event Auth Time Out</t>
  </si>
  <si>
    <t>Audit : Other Audit : Authentication Timeout</t>
  </si>
  <si>
    <t>User Event Auth FSAE Logon</t>
  </si>
  <si>
    <t>Audit :  Authentication Success : User Logon</t>
  </si>
  <si>
    <t>User Event Auth FSAE Logoff</t>
  </si>
  <si>
    <t>Audit :  Authentication Success : User Logoff</t>
  </si>
  <si>
    <t>User Event Auth Logon</t>
  </si>
  <si>
    <t>User Event Auth Logout</t>
  </si>
  <si>
    <t>User Event Auth FGOVRD Success</t>
  </si>
  <si>
    <t>Audit : Other Audit Success : Successful Activity</t>
  </si>
  <si>
    <t>Add Connection</t>
  </si>
  <si>
    <t>Operations : Network Traffic : Connection Established</t>
  </si>
  <si>
    <t>Close Connection</t>
  </si>
  <si>
    <t>Audit : Other Audit Success : Client Connection Closed</t>
  </si>
  <si>
    <r>
      <rPr>
        <sz val="12"/>
        <color rgb="FF000000"/>
        <rFont val="Calibri"/>
        <family val="2"/>
      </rPr>
      <t>HA Sync ETDB</t>
    </r>
  </si>
  <si>
    <r>
      <rPr>
        <sz val="12"/>
        <color rgb="FF000000"/>
        <rFont val="Calibri"/>
        <family val="2"/>
      </rPr>
      <t>HA Sync FLDB</t>
    </r>
  </si>
  <si>
    <t>Log_Id_Event_Security_Audit_Fabric_Summary</t>
  </si>
  <si>
    <t>Log_Id_Event_Security_Audit_Fabric_Change</t>
  </si>
  <si>
    <t>Operations : Error : Decryption Failure</t>
  </si>
  <si>
    <t>Operations : Warning : Module Not Supported</t>
  </si>
  <si>
    <t>Operations : Information : SSL Information-Only Event</t>
  </si>
  <si>
    <t>Operations : Error : SSL Connection Error</t>
  </si>
  <si>
    <t>Operations : Information : SSL Key Information</t>
  </si>
  <si>
    <t>Wad Ssl Decry Fail</t>
  </si>
  <si>
    <t>Wad Ssl Not Support Cs</t>
  </si>
  <si>
    <t>Wad Ssl Rcv Alert</t>
  </si>
  <si>
    <t>Wad Ssl Rcv Fatal Alert</t>
  </si>
  <si>
    <t>Wad Ssl Sent Fatal Alert</t>
  </si>
  <si>
    <r>
      <rPr>
        <sz val="12"/>
        <color rgb="FF000000"/>
        <rFont val="Calibri"/>
        <family val="2"/>
      </rPr>
      <t>Wireless STA Locate</t>
    </r>
  </si>
  <si>
    <t>Operations : Warning : Interference Detected For Wireless Station</t>
  </si>
  <si>
    <r>
      <rPr>
        <sz val="12"/>
        <color rgb="FF000000"/>
        <rFont val="Calibri"/>
        <family val="2"/>
      </rPr>
      <t>Wireless Rogue Detect</t>
    </r>
  </si>
  <si>
    <t>Operations : Warning : General Wireless Channel Warning</t>
  </si>
  <si>
    <t>Audit : Other Audit Success : Wireless Disassociation</t>
  </si>
  <si>
    <r>
      <rPr>
        <sz val="12"/>
        <color rgb="FF000000"/>
        <rFont val="Calibri"/>
        <family val="2"/>
      </rPr>
      <t>Wireless Rogue Detect Chg</t>
    </r>
  </si>
  <si>
    <r>
      <rPr>
        <sz val="12"/>
        <color rgb="FF000000"/>
        <rFont val="Calibri"/>
        <family val="2"/>
      </rPr>
      <t>Wireless STA Auth</t>
    </r>
  </si>
  <si>
    <t>Audit : Authentication Success : Authentication Activity</t>
  </si>
  <si>
    <r>
      <rPr>
        <sz val="12"/>
        <color rgb="FF000000"/>
        <rFont val="Calibri"/>
        <family val="2"/>
      </rPr>
      <t>Wireless STA Idle</t>
    </r>
  </si>
  <si>
    <t>Operations : Information : Idle Timeout</t>
  </si>
  <si>
    <r>
      <rPr>
        <sz val="12"/>
        <color rgb="FF000000"/>
        <rFont val="Calibri"/>
        <family val="2"/>
      </rPr>
      <t>Wireless STA IP</t>
    </r>
  </si>
  <si>
    <t>Operations : Information : IP Address Assigned</t>
  </si>
  <si>
    <r>
      <rPr>
        <sz val="12"/>
        <color rgb="FF000000"/>
        <rFont val="Calibri"/>
        <family val="2"/>
      </rPr>
      <t>Wireless STA Leave WTP</t>
    </r>
  </si>
  <si>
    <t>Operations : Other Operations : Received Disconnect</t>
  </si>
  <si>
    <r>
      <rPr>
        <sz val="12"/>
        <color rgb="FF000000"/>
        <rFont val="Calibri"/>
        <family val="2"/>
      </rPr>
      <t>Wireless WTPR DARRP Chan</t>
    </r>
  </si>
  <si>
    <t>Operations : Information : Wireless Physical AP Activity</t>
  </si>
  <si>
    <r>
      <rPr>
        <sz val="12"/>
        <color rgb="FF000000"/>
        <rFont val="Calibri"/>
        <family val="2"/>
      </rPr>
      <t>Wireless WTPR OPER Chan</t>
    </r>
  </si>
  <si>
    <r>
      <rPr>
        <sz val="12"/>
        <color rgb="FF000000"/>
        <rFont val="Calibri"/>
        <family val="2"/>
      </rPr>
      <t>Wireless WTPR Cfg Txpower</t>
    </r>
  </si>
  <si>
    <r>
      <rPr>
        <sz val="12"/>
        <color rgb="FF000000"/>
        <rFont val="Calibri"/>
        <family val="2"/>
      </rPr>
      <t>Wireless WTPR OPER Txpower</t>
    </r>
  </si>
  <si>
    <r>
      <rPr>
        <sz val="12"/>
        <color rgb="FF000000"/>
        <rFont val="Calibri"/>
        <family val="2"/>
      </rPr>
      <t>Wireless CLB Deny</t>
    </r>
  </si>
  <si>
    <t>Operations : Information : General Load Balancing Message</t>
  </si>
  <si>
    <r>
      <rPr>
        <sz val="12"/>
        <color rgb="FF000000"/>
        <rFont val="Calibri"/>
        <family val="2"/>
      </rPr>
      <t>Wireless CLB Retry</t>
    </r>
  </si>
  <si>
    <r>
      <rPr>
        <sz val="12"/>
        <color rgb="FF000000"/>
        <rFont val="Calibri"/>
        <family val="2"/>
      </rPr>
      <t>Wireless Sys AC DARRP Start</t>
    </r>
  </si>
  <si>
    <r>
      <rPr>
        <sz val="12"/>
        <color rgb="FF000000"/>
        <rFont val="Calibri"/>
        <family val="2"/>
      </rPr>
      <t>Wireless Sys AC DARRP Stop</t>
    </r>
  </si>
  <si>
    <r>
      <rPr>
        <sz val="12"/>
        <color rgb="FF000000"/>
        <rFont val="Calibri"/>
        <family val="2"/>
      </rPr>
      <t>Wireless Sys AC CFG Loaded</t>
    </r>
  </si>
  <si>
    <t>Operations : Information : Configuration Information</t>
  </si>
  <si>
    <t>Operations : Warning : General Virus Infected Warning</t>
  </si>
  <si>
    <t>Operations : Information : General Virus Infected Notice</t>
  </si>
  <si>
    <r>
      <rPr>
        <sz val="12"/>
        <color rgb="FF000000"/>
        <rFont val="Calibri"/>
        <family val="2"/>
      </rPr>
      <t>MIME Header Detected To Have A Virus And Blocked</t>
    </r>
  </si>
  <si>
    <t>Security : Malware : Detected Malware Activity</t>
  </si>
  <si>
    <r>
      <rPr>
        <sz val="12"/>
        <color rgb="FF000000"/>
        <rFont val="Calibri"/>
        <family val="2"/>
      </rPr>
      <t>MIME Header Infected And Passed</t>
    </r>
  </si>
  <si>
    <t>Security : Activity : MIME Intercepted</t>
  </si>
  <si>
    <r>
      <rPr>
        <sz val="12"/>
        <color rgb="FF000000"/>
        <rFont val="Calibri"/>
        <family val="2"/>
      </rPr>
      <t>File Is An Executable</t>
    </r>
  </si>
  <si>
    <t>Security : Activity : HTTP Executable Transfer</t>
  </si>
  <si>
    <r>
      <rPr>
        <sz val="12"/>
        <color rgb="FF000000"/>
        <rFont val="Calibri"/>
        <family val="2"/>
      </rPr>
      <t>FortiGate Unit Blocked A File</t>
    </r>
  </si>
  <si>
    <t>Security : Failed Activity : Blocked Message</t>
  </si>
  <si>
    <r>
      <rPr>
        <sz val="12"/>
        <color rgb="FF000000"/>
        <rFont val="Calibri"/>
        <family val="2"/>
      </rPr>
      <t>FortiGate Unit Blocked A Virus Command</t>
    </r>
  </si>
  <si>
    <t>Security : Other Security : Unknown Command</t>
  </si>
  <si>
    <r>
      <rPr>
        <sz val="12"/>
        <color rgb="FF000000"/>
        <rFont val="Calibri"/>
        <family val="2"/>
      </rPr>
      <t>FortiGate Unit Intercepted A File Containing Virus</t>
    </r>
  </si>
  <si>
    <t>Security : Activity : File Intercepted</t>
  </si>
  <si>
    <r>
      <rPr>
        <sz val="12"/>
        <color rgb="FF000000"/>
        <rFont val="Calibri"/>
        <family val="2"/>
      </rPr>
      <t>FortiGate Unit Intercepted A File (MIME)</t>
    </r>
  </si>
  <si>
    <r>
      <rPr>
        <sz val="12"/>
        <color rgb="FF000000"/>
        <rFont val="Calibri"/>
        <family val="2"/>
      </rPr>
      <t>File Exempted</t>
    </r>
  </si>
  <si>
    <t>Operations : Information : File Exempted</t>
  </si>
  <si>
    <r>
      <rPr>
        <sz val="12"/>
        <color rgb="FF000000"/>
        <rFont val="Calibri"/>
        <family val="2"/>
      </rPr>
      <t>MMS Content Checksum Blocked An Infected File</t>
    </r>
  </si>
  <si>
    <t>Operations : Warning : Checksum Warning</t>
  </si>
  <si>
    <r>
      <rPr>
        <sz val="12"/>
        <color rgb="FF000000"/>
        <rFont val="Calibri"/>
        <family val="2"/>
      </rPr>
      <t>MMS Content Checksum Was Matched</t>
    </r>
  </si>
  <si>
    <t>Operations : Information : General Checksum Information</t>
  </si>
  <si>
    <r>
      <rPr>
        <sz val="12"/>
        <color rgb="FF000000"/>
        <rFont val="Calibri"/>
        <family val="2"/>
      </rPr>
      <t>Defined File Size Limit Was Exceeded</t>
    </r>
  </si>
  <si>
    <t>Operations : Warning : Limit Exceeded</t>
  </si>
  <si>
    <r>
      <rPr>
        <sz val="12"/>
        <color rgb="FF000000"/>
        <rFont val="Calibri"/>
        <family val="2"/>
      </rPr>
      <t>File Size Limit Was Exceeded</t>
    </r>
  </si>
  <si>
    <r>
      <rPr>
        <sz val="12"/>
        <color rgb="FF000000"/>
        <rFont val="Calibri"/>
        <family val="2"/>
      </rPr>
      <t>File (MIME) Size Exceed The Defined Size Limit</t>
    </r>
  </si>
  <si>
    <r>
      <rPr>
        <sz val="12"/>
        <color rgb="FF000000"/>
        <rFont val="Calibri"/>
        <family val="2"/>
      </rPr>
      <t>Switching Protocols Request</t>
    </r>
  </si>
  <si>
    <t>Operations : Information : Protocol Change Requested</t>
  </si>
  <si>
    <r>
      <rPr>
        <sz val="12"/>
        <color rgb="FF000000"/>
        <rFont val="Calibri"/>
        <family val="2"/>
      </rPr>
      <t>File Reached The Uncompressed Nested Limit</t>
    </r>
  </si>
  <si>
    <r>
      <rPr>
        <sz val="12"/>
        <color rgb="FF000000"/>
        <rFont val="Calibri"/>
        <family val="2"/>
      </rPr>
      <t>Archived File Is Corrupted</t>
    </r>
  </si>
  <si>
    <t>Operations : Warning : Data Corrupt</t>
  </si>
  <si>
    <r>
      <rPr>
        <sz val="12"/>
        <color rgb="FF000000"/>
        <rFont val="Calibri"/>
        <family val="2"/>
      </rPr>
      <t>Archived File Is Encrypted</t>
    </r>
  </si>
  <si>
    <t>Security : Activity : Encrypted Files Detected</t>
  </si>
  <si>
    <r>
      <rPr>
        <sz val="12"/>
        <color rgb="FF000000"/>
        <rFont val="Calibri"/>
        <family val="2"/>
      </rPr>
      <t>Corrupted Archive</t>
    </r>
  </si>
  <si>
    <r>
      <rPr>
        <sz val="12"/>
        <color rgb="FF000000"/>
        <rFont val="Calibri"/>
        <family val="2"/>
      </rPr>
      <t>File Is A Multipart Archive</t>
    </r>
  </si>
  <si>
    <t>Operations : Information : Archive Message</t>
  </si>
  <si>
    <r>
      <rPr>
        <sz val="12"/>
        <color rgb="FF000000"/>
        <rFont val="Calibri"/>
        <family val="2"/>
      </rPr>
      <t>File Is A Nested Archived File</t>
    </r>
  </si>
  <si>
    <r>
      <rPr>
        <sz val="12"/>
        <color rgb="FF000000"/>
        <rFont val="Calibri"/>
        <family val="2"/>
      </rPr>
      <t>File Is An Archived Type Unhandled</t>
    </r>
  </si>
  <si>
    <r>
      <rPr>
        <sz val="12"/>
        <color rgb="FF000000"/>
        <rFont val="Calibri"/>
        <family val="2"/>
      </rPr>
      <t>Archived File Is Oversized</t>
    </r>
  </si>
  <si>
    <r>
      <rPr>
        <sz val="12"/>
        <color rgb="FF000000"/>
        <rFont val="Calibri"/>
        <family val="2"/>
      </rPr>
      <t>Unhandled Archive</t>
    </r>
  </si>
  <si>
    <t>Operations : Warning : Object Not Archived</t>
  </si>
  <si>
    <r>
      <rPr>
        <sz val="12"/>
        <color rgb="FF000000"/>
        <rFont val="Calibri"/>
        <family val="2"/>
      </rPr>
      <t>AV Engine Load Failed</t>
    </r>
  </si>
  <si>
    <t>Operations : Error : Onload Failure</t>
  </si>
  <si>
    <r>
      <rPr>
        <sz val="12"/>
        <color rgb="FF000000"/>
        <rFont val="Calibri"/>
        <family val="2"/>
      </rPr>
      <t>Partially Corrupted Archive</t>
    </r>
  </si>
  <si>
    <r>
      <rPr>
        <sz val="12"/>
        <color rgb="FF000000"/>
        <rFont val="Calibri"/>
        <family val="2"/>
      </rPr>
      <t>Exceeded Archive Files Limit</t>
    </r>
  </si>
  <si>
    <t>Security : Activity : File Size Exceeds Limit</t>
  </si>
  <si>
    <r>
      <rPr>
        <sz val="12"/>
        <color rgb="FF000000"/>
        <rFont val="Calibri"/>
        <family val="2"/>
      </rPr>
      <t>Archive Scan Timeout</t>
    </r>
  </si>
  <si>
    <t>Operations : Warning : Timeout</t>
  </si>
  <si>
    <r>
      <rPr>
        <sz val="12"/>
        <color rgb="FF000000"/>
        <rFont val="Calibri"/>
        <family val="2"/>
      </rPr>
      <t>File Submitted To Sandbox</t>
    </r>
  </si>
  <si>
    <r>
      <rPr>
        <sz val="12"/>
        <color rgb="FF000000"/>
        <rFont val="Calibri"/>
        <family val="2"/>
      </rPr>
      <t>File Reported Infected</t>
    </r>
  </si>
  <si>
    <t>Operations : Information : General Virus Infected</t>
  </si>
  <si>
    <r>
      <rPr>
        <sz val="12"/>
        <color rgb="FF000000"/>
        <rFont val="Calibri"/>
        <family val="2"/>
      </rPr>
      <t>File Verdict Returned</t>
    </r>
  </si>
  <si>
    <t>Operations : Information : Results Returned</t>
  </si>
  <si>
    <r>
      <rPr>
        <sz val="12"/>
        <color rgb="FF000000"/>
        <rFont val="Calibri"/>
        <family val="2"/>
      </rPr>
      <t>Active Content Detected By Content Disarm Engine</t>
    </r>
  </si>
  <si>
    <r>
      <rPr>
        <sz val="12"/>
        <color rgb="FF000000"/>
        <rFont val="Calibri"/>
        <family val="2"/>
      </rPr>
      <t>File Was Disarmed By Content Disarm Engine</t>
    </r>
  </si>
  <si>
    <t>Operations : Warning : File Unavailable</t>
  </si>
  <si>
    <t>Webfilter Url Filter Block</t>
  </si>
  <si>
    <t>Webfilter Url Filter Exempt</t>
  </si>
  <si>
    <t>Webfilter Url Filter Allow</t>
  </si>
  <si>
    <t>Operations : Information : General WebFilter URLFilter</t>
  </si>
  <si>
    <t>Webfilter Url Filter Srv Cert Err Blk</t>
  </si>
  <si>
    <t>Webfilter Url Filter Srv Cert Err Pass</t>
  </si>
  <si>
    <t>Webfilter Web Ftgd Warning</t>
  </si>
  <si>
    <t>Webfilter Web Ftgd Cat Blk</t>
  </si>
  <si>
    <t>Webfilter Web Ftgd Cat Warn</t>
  </si>
  <si>
    <t>Webfilter Web Ftgd Cat Allow</t>
  </si>
  <si>
    <t>Webfilter Web Url</t>
  </si>
  <si>
    <t>Webfilter Web Scriptfilter ActiveX</t>
  </si>
  <si>
    <t>Web Content Banned Word Found</t>
  </si>
  <si>
    <t>Operations : Information : Banned Word Notice</t>
  </si>
  <si>
    <t>Web Content MMS Banned Word Found</t>
  </si>
  <si>
    <t>Security : Failed Activity : Blocked Message Banned Attachment</t>
  </si>
  <si>
    <t>Web Content Exempt Word Found</t>
  </si>
  <si>
    <t>Security : Activity : Web Content MMS Exempt Word</t>
  </si>
  <si>
    <t>Web Content MMS Exempt Word Found</t>
  </si>
  <si>
    <t>Message Contained A KeyWord In The Profile List</t>
  </si>
  <si>
    <t>Operations : Information : General WEB Information</t>
  </si>
  <si>
    <t>Search Phrase Detected</t>
  </si>
  <si>
    <t>Web Content MMS Banned Word</t>
  </si>
  <si>
    <t>The Request Contained An Invalid Domain Name</t>
  </si>
  <si>
    <t>HTTP Cert Request Contained An Invalid Domain</t>
  </si>
  <si>
    <t>HTTP Certificate Request Contained An Invalid Name</t>
  </si>
  <si>
    <t>Insufficient Resources</t>
  </si>
  <si>
    <t>Operations : Critical : Insufficient Resources</t>
  </si>
  <si>
    <t>Getting The Host Name Failed</t>
  </si>
  <si>
    <t>Operations : Warning : Hostname Not Found</t>
  </si>
  <si>
    <t>Server Certificate Validation Failed</t>
  </si>
  <si>
    <t>Operations : Error : Certificate Verification Failure</t>
  </si>
  <si>
    <t>SSL Session Blocked</t>
  </si>
  <si>
    <t>Operations : Warning : Session Invalidated</t>
  </si>
  <si>
    <t>Service Not Active</t>
  </si>
  <si>
    <t>Rating Error Occurred</t>
  </si>
  <si>
    <t>Operations : Error : Rating Error</t>
  </si>
  <si>
    <t>URL Passed</t>
  </si>
  <si>
    <t>URL Blocked By Websense Service</t>
  </si>
  <si>
    <t>Security : Failed Activity : Web Site Blocked - Category</t>
  </si>
  <si>
    <t>URL Allowed By Websense Service</t>
  </si>
  <si>
    <t>URL Address Exempted</t>
  </si>
  <si>
    <t>Daily FortiGuard Quota Status</t>
  </si>
  <si>
    <t>URL Belongs To An Override Rule</t>
  </si>
  <si>
    <t>Security : Activity : URL Exempted</t>
  </si>
  <si>
    <t>FortiGuard Web Filter Category Quota Counting Log</t>
  </si>
  <si>
    <t>FortiGuard Web Filter Category Quota ExpiredLogMsg</t>
  </si>
  <si>
    <t>Cookie Removed</t>
  </si>
  <si>
    <t>Operations : Information : Cookie Removed</t>
  </si>
  <si>
    <t>Java Applet Removed</t>
  </si>
  <si>
    <t>Operations : Information : Java Applet Removed</t>
  </si>
  <si>
    <t>Script Entity Removed</t>
  </si>
  <si>
    <t>Operations : Information : ActiveX Script Removed</t>
  </si>
  <si>
    <t>Cookie Removed Entirely</t>
  </si>
  <si>
    <t>Referrer Removed From Request</t>
  </si>
  <si>
    <t>Audit : Access Success : Object Modified</t>
  </si>
  <si>
    <t>Command Blocked</t>
  </si>
  <si>
    <t>Security : Failed Activity : Process Blocked</t>
  </si>
  <si>
    <t>Blocked By HTTP Header Content Type</t>
  </si>
  <si>
    <t>Depends On Info In Msg Field</t>
  </si>
  <si>
    <t>Log_Id_Dns_Url_Filter_Allow</t>
  </si>
  <si>
    <t>Log_Id_Dns_Botnet_Ip</t>
  </si>
  <si>
    <t>Log_Id_Dns_Botnet_Domain</t>
  </si>
  <si>
    <t>Log_Id_Dns_Ftgd_Warning</t>
  </si>
  <si>
    <t>Log_Id_Dns_Ftgd_Error</t>
  </si>
  <si>
    <t>Log_Id_Dns_Ftgd_Cat_Allow</t>
  </si>
  <si>
    <t>Log_Id_Dns_Ftgd_Cat_Block</t>
  </si>
  <si>
    <r>
      <rPr>
        <sz val="12"/>
        <color rgb="FF000000"/>
        <rFont val="Calibri"/>
        <family val="2"/>
      </rPr>
      <t>UTM App Ctrl IPS Pass</t>
    </r>
  </si>
  <si>
    <t>Operations : Network Allow : Traffic Allowed by IDS/IPS</t>
  </si>
  <si>
    <r>
      <rPr>
        <sz val="12"/>
        <color rgb="FF000000"/>
        <rFont val="Calibri"/>
        <family val="2"/>
      </rPr>
      <t>UTM App Ctrl IPS Block</t>
    </r>
  </si>
  <si>
    <t>Operations : Network Deny : Traffic Denied by IDS/IPS</t>
  </si>
  <si>
    <r>
      <rPr>
        <sz val="12"/>
        <color rgb="FF000000"/>
        <rFont val="Calibri"/>
        <family val="2"/>
      </rPr>
      <t>UTM App Ctrl IPS Reset</t>
    </r>
  </si>
  <si>
    <t>Logid_App_Ctrl_Im_Basic</t>
  </si>
  <si>
    <t>Logid_App_Ctrl_Im_Basic_With_Status</t>
  </si>
  <si>
    <t>Logid_App_Ctrl_Im_Basic_With_Count</t>
  </si>
  <si>
    <t>Logid_App_Ctrl_Im_File</t>
  </si>
  <si>
    <t>Operations : Information : Application Control IM Message</t>
  </si>
  <si>
    <t>Logid_App_Ctrl_Im_Chat</t>
  </si>
  <si>
    <t>Logid_App_Ctrl_Im_Chat_Block</t>
  </si>
  <si>
    <t>Logid_App_Ctrl_Im_Block</t>
  </si>
  <si>
    <t>Logid_App_Ctrl_Ssh_Pass</t>
  </si>
  <si>
    <t>Operations : Network Traffic : SSH Session Opened</t>
  </si>
  <si>
    <t>Logid_App_Ctrl_Ssh_Block</t>
  </si>
  <si>
    <t>Operations : Warning : Denied SSH Session</t>
  </si>
  <si>
    <r>
      <rPr>
        <sz val="12"/>
        <color rgb="FF000000"/>
        <rFont val="Calibri"/>
        <family val="2"/>
      </rPr>
      <t>IPS Signature ICMP</t>
    </r>
  </si>
  <si>
    <r>
      <rPr>
        <sz val="12"/>
        <color rgb="FF000000"/>
        <rFont val="Calibri"/>
        <family val="2"/>
      </rPr>
      <t>IPS Signature TCP UDP</t>
    </r>
  </si>
  <si>
    <t>Security : Attack : General Attack Activity</t>
  </si>
  <si>
    <r>
      <rPr>
        <sz val="12"/>
        <color rgb="FF000000"/>
        <rFont val="Calibri"/>
        <family val="2"/>
      </rPr>
      <t>Attack Detected By Other Signature</t>
    </r>
  </si>
  <si>
    <r>
      <rPr>
        <sz val="12"/>
        <color rgb="FF000000"/>
        <rFont val="Calibri"/>
        <family val="2"/>
      </rPr>
      <t>Attack Detected By A Malicious URL</t>
    </r>
  </si>
  <si>
    <r>
      <rPr>
        <sz val="12"/>
        <color rgb="FF000000"/>
        <rFont val="Calibri"/>
        <family val="2"/>
      </rPr>
      <t>Anomaly Attack Anomaly Tcp Udp</t>
    </r>
  </si>
  <si>
    <t>Logid_Attck_Anomaly_Icmp</t>
  </si>
  <si>
    <t>Logid_Attck_Anomaly_Others</t>
  </si>
  <si>
    <r>
      <rPr>
        <sz val="12"/>
        <color rgb="FF000000"/>
        <rFont val="Calibri"/>
        <family val="2"/>
      </rPr>
      <t>UTM DLP Notif</t>
    </r>
  </si>
  <si>
    <t>Operations : Warning : Data Leak Detected</t>
  </si>
  <si>
    <r>
      <rPr>
        <sz val="12"/>
        <color rgb="FF000000"/>
        <rFont val="Calibri"/>
        <family val="2"/>
      </rPr>
      <t>Data Leak Detected By Specified DLP Sensor Rule</t>
    </r>
  </si>
  <si>
    <r>
      <rPr>
        <sz val="12"/>
        <color rgb="FF000000"/>
        <rFont val="Calibri"/>
        <family val="2"/>
      </rPr>
      <t>DLP Fingerprint Document Source Notice</t>
    </r>
  </si>
  <si>
    <r>
      <rPr>
        <sz val="12"/>
        <color rgb="FF000000"/>
        <rFont val="Calibri"/>
        <family val="2"/>
      </rPr>
      <t>DLP Fingerprint Document Source Error</t>
    </r>
  </si>
  <si>
    <t>&lt;session&gt; and &lt;policy&gt; tag added in Traffic-forward.</t>
  </si>
  <si>
    <t>&lt;policy&gt; tag added in Traffic-local.</t>
  </si>
  <si>
    <t>&lt;policy&gt; tag added in Traffic-multicast.</t>
  </si>
  <si>
    <t>&lt;session&gt; and &lt;policy&gt; tag added in Traffic-sniffer.</t>
  </si>
  <si>
    <t>&lt;vmid&gt; is tagged to logid for entire sheet &amp; Added Subrules for "tarffic", "event-system", "Event-Router", "Event-VPN", "Event-User", "Event-Endpoint", "Event-HA", "Event-Security Ratings", "Event-WAD", "Event-Wireless", "UTM-Antivirus", "UTM-Web Filter", "UTM-DNS", "UTM-app-ctrl", "UTM-IPS", "UTM-Anamoly", "UTM-DLP", "UTM-SSL"</t>
  </si>
  <si>
    <t>&lt;status&gt;
&lt;tag2&gt;</t>
  </si>
  <si>
    <t>VMID</t>
  </si>
  <si>
    <t xml:space="preserve">&lt;tag1&gt; is removed from VMID. </t>
  </si>
  <si>
    <t>26/9/2023</t>
  </si>
  <si>
    <t>0000000013</t>
  </si>
  <si>
    <t>0001000014</t>
  </si>
  <si>
    <t>0002000012</t>
  </si>
  <si>
    <t>0004000017</t>
  </si>
  <si>
    <t>0113022923</t>
  </si>
  <si>
    <t>0100032001</t>
  </si>
  <si>
    <t>0103020301</t>
  </si>
  <si>
    <t>0101037127</t>
  </si>
  <si>
    <t>0102043008</t>
  </si>
  <si>
    <t>0107045057</t>
  </si>
  <si>
    <t>0108037894</t>
  </si>
  <si>
    <t>0110052000</t>
  </si>
  <si>
    <t>0105048038</t>
  </si>
  <si>
    <t>0104043568</t>
  </si>
  <si>
    <t>0112053200</t>
  </si>
  <si>
    <t>0111046400</t>
  </si>
  <si>
    <t>0114032695</t>
  </si>
  <si>
    <t>0116047301</t>
  </si>
  <si>
    <t>0211008192</t>
  </si>
  <si>
    <t>0316013056</t>
  </si>
  <si>
    <t>1501054802</t>
  </si>
  <si>
    <t>0419016384</t>
  </si>
  <si>
    <t>0720018433</t>
  </si>
  <si>
    <t>17:45:30</t>
  </si>
  <si>
    <t>0954024576</t>
  </si>
  <si>
    <t>&lt;proto&gt;</t>
  </si>
  <si>
    <t>Event Reportd Report Failure</t>
  </si>
  <si>
    <t>Security : Failed Activity : Web Activity Blocked</t>
  </si>
  <si>
    <t>Operations : Information : Session Information</t>
  </si>
  <si>
    <t>Operations : Information : URL Information</t>
  </si>
  <si>
    <t>Operations : Information : Search</t>
  </si>
  <si>
    <t>Operations : Information : Invalid Domain Name</t>
  </si>
  <si>
    <t>Operations : Warning : Invalid Name</t>
  </si>
  <si>
    <t>HTTPS Certificate Request Contained An Invalid Name</t>
  </si>
  <si>
    <t>Operations : Information : URL Access Statistics</t>
  </si>
  <si>
    <t>Infected File Detected</t>
  </si>
  <si>
    <t>Infected File Blocked</t>
  </si>
  <si>
    <t>Security : Failed Activity : Threat Blocked</t>
  </si>
  <si>
    <t>Audit : Access Success : Job Submitted</t>
  </si>
  <si>
    <t>Security : Activity : General Threat Message</t>
  </si>
  <si>
    <t>Security : Malware : Detected Botnet Activity</t>
  </si>
  <si>
    <t>Botnet C&amp;C Communication</t>
  </si>
  <si>
    <t xml:space="preserve">deny </t>
  </si>
  <si>
    <t>LOG_ID_TRAFFIC_STAT</t>
  </si>
  <si>
    <t>20_Traffic Session Denied</t>
  </si>
  <si>
    <t>20_Traffic Session Timeout</t>
  </si>
  <si>
    <t>Operations : Warning : Session Timeout</t>
  </si>
  <si>
    <t>20_Traffic Allowed</t>
  </si>
  <si>
    <t>20_Traffic Session Started</t>
  </si>
  <si>
    <t>Operations : Network Traffic : Network Session Created</t>
  </si>
  <si>
    <t>20_Local Traffic Session Allowed</t>
  </si>
  <si>
    <t>20_Traffic Blocked</t>
  </si>
  <si>
    <t>20_Traffic Reset</t>
  </si>
  <si>
    <t>20_Forward Traffic Allowed</t>
  </si>
  <si>
    <t>LOG_ID_TRAFFIC_END_FORWARD</t>
  </si>
  <si>
    <t>13_Traffic Session Denied</t>
  </si>
  <si>
    <t>13_Traffic Session Timeout</t>
  </si>
  <si>
    <t>13_Forward Traffic Allowed</t>
  </si>
  <si>
    <t>13_Traffic Session Started</t>
  </si>
  <si>
    <t>13_Local Traffic Session Allowed</t>
  </si>
  <si>
    <t>13_Traffic Blocked</t>
  </si>
  <si>
    <t>13_Traffic Reset</t>
  </si>
  <si>
    <t>13_Traffic Allowed</t>
  </si>
  <si>
    <t>LOG_ID_TRAFFIC_START_FORWARD</t>
  </si>
  <si>
    <t>15_Traffic Session Denied</t>
  </si>
  <si>
    <t>15_Traffic Session Timeout</t>
  </si>
  <si>
    <t>15_Forward Traffic Allowed</t>
  </si>
  <si>
    <t>15_Traffic Session Started</t>
  </si>
  <si>
    <t>15_Local Traffic Session Allowed</t>
  </si>
  <si>
    <t>15_Traffic Blocked</t>
  </si>
  <si>
    <t>15_Traffic Reset</t>
  </si>
  <si>
    <t>15_Traffic Allowed</t>
  </si>
  <si>
    <t>LOG_ID_TRAFFIC_ALLOW</t>
  </si>
  <si>
    <t>2_Traffic Session Denied</t>
  </si>
  <si>
    <t>2_Traffic Session Timeout</t>
  </si>
  <si>
    <t>2_Forward Traffic Allowed</t>
  </si>
  <si>
    <t>2_Traffic Session Started</t>
  </si>
  <si>
    <t>2_Local Traffic Session Allowed</t>
  </si>
  <si>
    <t>2_Traffic Blocked</t>
  </si>
  <si>
    <t>2_Traffic Reset</t>
  </si>
  <si>
    <t>2_Traffic Allowed</t>
  </si>
  <si>
    <t>LOG_ID_TRAFFIC_DENY</t>
  </si>
  <si>
    <t>3_Traffic Session Denied</t>
  </si>
  <si>
    <t>3_Traffic Session Timeout</t>
  </si>
  <si>
    <t>3_Forward Traffic Allowed</t>
  </si>
  <si>
    <t>3_Traffic Session Started</t>
  </si>
  <si>
    <t>3_Local Traffic Session Allowed</t>
  </si>
  <si>
    <t>3_Traffic Blocked</t>
  </si>
  <si>
    <t>3_Traffic Reset</t>
  </si>
  <si>
    <t>3_Traffic Allowed</t>
  </si>
  <si>
    <t>4_Traffic Session Denied</t>
  </si>
  <si>
    <t>4_Traffic Session Timeout</t>
  </si>
  <si>
    <t>4_Forward Traffic Allowed</t>
  </si>
  <si>
    <t>4_Traffic Session Started</t>
  </si>
  <si>
    <t>4_Local Traffic Session Allowed</t>
  </si>
  <si>
    <t>4_Traffic Blocked</t>
  </si>
  <si>
    <t>4_Traffic Reset</t>
  </si>
  <si>
    <t>4_Traffic Allowed</t>
  </si>
  <si>
    <t>LOG_ID_TRAFFIC_OTHER_START</t>
  </si>
  <si>
    <t>5_Traffic Session Denied</t>
  </si>
  <si>
    <t>5_Traffic Session Timeout</t>
  </si>
  <si>
    <t>5_Forward Traffic Allowed</t>
  </si>
  <si>
    <t>5_Traffic Session Started</t>
  </si>
  <si>
    <t>5_Local Traffic Session Allowed</t>
  </si>
  <si>
    <t>5_Traffic Blocked</t>
  </si>
  <si>
    <t>5_Traffic Reset</t>
  </si>
  <si>
    <t>5_Traffic Allowed</t>
  </si>
  <si>
    <t>6_Traffic Session Denied</t>
  </si>
  <si>
    <t>6_Traffic Session Timeout</t>
  </si>
  <si>
    <t>6_Forward Traffic Allowed</t>
  </si>
  <si>
    <t>6_Traffic Session Started</t>
  </si>
  <si>
    <t>6_Local Traffic Session Allowed</t>
  </si>
  <si>
    <t>6_Traffic Blocked</t>
  </si>
  <si>
    <t>6_Traffic Reset</t>
  </si>
  <si>
    <t>6_Traffic Allowed</t>
  </si>
  <si>
    <t>8_Traffic Session Denied</t>
  </si>
  <si>
    <t>8_Traffic Session Timeout</t>
  </si>
  <si>
    <t>8_Forward Traffic Allowed</t>
  </si>
  <si>
    <t>8_Traffic Session Started</t>
  </si>
  <si>
    <t>8_Local Traffic Session Allowed</t>
  </si>
  <si>
    <t>8_Traffic Blocked</t>
  </si>
  <si>
    <t>8_Traffic Reset</t>
  </si>
  <si>
    <t>8_Traffic Allowed</t>
  </si>
  <si>
    <t>9_Traffic Session Denied</t>
  </si>
  <si>
    <t>9_Traffic Session Timeout</t>
  </si>
  <si>
    <t>9_Forward Traffic Allowed</t>
  </si>
  <si>
    <t>9_Traffic Session Started</t>
  </si>
  <si>
    <t>9_Local Traffic Session Allowed</t>
  </si>
  <si>
    <t>9_Traffic Blocked</t>
  </si>
  <si>
    <t>9_Traffic Reset</t>
  </si>
  <si>
    <t>9_Traffic Allowed</t>
  </si>
  <si>
    <t>LOG_ID_TRAFFIC_OTHER_ICMP_ALLOW</t>
  </si>
  <si>
    <t>LOG_ID_TRAFFIC_OTHER_ICMP_DENY</t>
  </si>
  <si>
    <t>LOG_ID_TRAFFIC_WANOPT</t>
  </si>
  <si>
    <t>LOG_ID_TRAFFIC_WEBCACHE</t>
  </si>
  <si>
    <t>LOG_ID_TRAFFIC_EXPLICIT_PROXY</t>
  </si>
  <si>
    <t>10_Traffic Session Denied</t>
  </si>
  <si>
    <t>10_Traffic Session Timeout</t>
  </si>
  <si>
    <t>10_Forward Traffic Allowed</t>
  </si>
  <si>
    <t>10_Traffic Session Started</t>
  </si>
  <si>
    <t>10_Local Traffic Session Allowed</t>
  </si>
  <si>
    <t>10_Traffic Blocked</t>
  </si>
  <si>
    <t>10_Traffic Reset</t>
  </si>
  <si>
    <t>10_Traffic Allowed</t>
  </si>
  <si>
    <t>LOG_ID_TRAFFIC_FAIL_CONN</t>
  </si>
  <si>
    <t>11_Traffic Session Denied</t>
  </si>
  <si>
    <t>11_Traffic Session Timeout</t>
  </si>
  <si>
    <t>11_Forward Traffic Allowed</t>
  </si>
  <si>
    <t>11_Traffic Session Started</t>
  </si>
  <si>
    <t>11_Local Traffic Session Allowed</t>
  </si>
  <si>
    <t>11_Traffic Blocked</t>
  </si>
  <si>
    <t>11_Traffic Reset</t>
  </si>
  <si>
    <t>11_Traffic Allowed</t>
  </si>
  <si>
    <t>LOG_ID_TRAFFIC_OTHER_INVALID</t>
  </si>
  <si>
    <t>Operations : Warning : Inavlid Operation</t>
  </si>
  <si>
    <t>7_Traffic Session Denied</t>
  </si>
  <si>
    <t>7_Traffic Session Timeout</t>
  </si>
  <si>
    <t>7_Forward Traffic Allowed</t>
  </si>
  <si>
    <t>7_Traffic Session Started</t>
  </si>
  <si>
    <t>7_Local Traffic Session Allowed</t>
  </si>
  <si>
    <t>7_Traffic Blocked</t>
  </si>
  <si>
    <t>7_Traffic Reset</t>
  </si>
  <si>
    <t>7_Traffic Allowed</t>
  </si>
  <si>
    <t>LOG_ID_TRAFFIC_END_LOCAL</t>
  </si>
  <si>
    <t>14_Traffic Session Denied</t>
  </si>
  <si>
    <t>14_Traffic Session Timeout</t>
  </si>
  <si>
    <t>14_Forward Traffic Allowed</t>
  </si>
  <si>
    <t>14_Traffic Session Started</t>
  </si>
  <si>
    <t>14_Local Traffic Session Allowed</t>
  </si>
  <si>
    <t>LOG_ID_TRAFFIC_SNIFFER</t>
  </si>
  <si>
    <t>17_Traffic Session Denied</t>
  </si>
  <si>
    <t>17_Traffic Session Timeout</t>
  </si>
  <si>
    <t>17_Forward Traffic Allowed</t>
  </si>
  <si>
    <t>17_Traffic Session Started</t>
  </si>
  <si>
    <t>17_Local Traffic Session Allowed</t>
  </si>
  <si>
    <t>17_Traffic Blocked</t>
  </si>
  <si>
    <t>17_Traffic Reset</t>
  </si>
  <si>
    <t>17_Traffic Allowed</t>
  </si>
  <si>
    <t>LOG_ID_TRAFFIC_UTM_CORRELATION</t>
  </si>
  <si>
    <t>22_Traffic Session Denied</t>
  </si>
  <si>
    <t>22_Traffic Session Timeout</t>
  </si>
  <si>
    <t>22_Forward Traffic Allowed</t>
  </si>
  <si>
    <t>22_Traffic Session Started</t>
  </si>
  <si>
    <t>22_Local Traffic Session Allowed</t>
  </si>
  <si>
    <t>22_Traffic Blocked</t>
  </si>
  <si>
    <t>22_Traffic Reset</t>
  </si>
  <si>
    <t>22_Traffic Allowed</t>
  </si>
  <si>
    <t>16_Traffic Session Denied</t>
  </si>
  <si>
    <t>16_Traffic Session Timeout</t>
  </si>
  <si>
    <t>16_Forward Traffic Allowed</t>
  </si>
  <si>
    <t>16_Traffic Session Started</t>
  </si>
  <si>
    <t>16_Local Traffic Session Allowed</t>
  </si>
  <si>
    <t>LOG_ID_TRAFFIC_BROADCAST</t>
  </si>
  <si>
    <t>19_Traffic Session Denied</t>
  </si>
  <si>
    <t>19_Traffic Session Timeout</t>
  </si>
  <si>
    <t>19_Forward Traffic Allowed</t>
  </si>
  <si>
    <t>19_Traffic Session Started</t>
  </si>
  <si>
    <t>19_Local Traffic Session Allowed</t>
  </si>
  <si>
    <t>12_Traffic Session Denied</t>
  </si>
  <si>
    <t>12_Traffic Session Timeout</t>
  </si>
  <si>
    <t>12_Forward Traffic Allowed</t>
  </si>
  <si>
    <t>12_Traffic Session Started</t>
  </si>
  <si>
    <t>12_Local Traffic Session Allowed</t>
  </si>
  <si>
    <t>LOG_ID_TRAFFIC_MULTICAST</t>
  </si>
  <si>
    <t>LOG_ID_TRAFFIC_SNIFFER_STAT</t>
  </si>
  <si>
    <t>21_Traffic Session Denied</t>
  </si>
  <si>
    <t>21_Traffic Session Timeout</t>
  </si>
  <si>
    <t>21_Forward Traffic Allowed</t>
  </si>
  <si>
    <t>21_Traffic Session Started</t>
  </si>
  <si>
    <t>21_Local Traffic Session Allowed</t>
  </si>
  <si>
    <t>21_Traffic Blocked</t>
  </si>
  <si>
    <t>21_Traffic Reset</t>
  </si>
  <si>
    <t>21_Traffic Allowed</t>
  </si>
  <si>
    <t>Operations : Information : WAN Module Info Msg</t>
  </si>
  <si>
    <t>Operations : Network Traffic : DHCP ACK</t>
  </si>
  <si>
    <t>Operations : Information : General DHCPServer Information</t>
  </si>
  <si>
    <t>Operations : Information : DHCP Lease Obtained</t>
  </si>
  <si>
    <t>Audit : Authentication Failure : Authentication Failure Activity</t>
  </si>
  <si>
    <t>Operations : Information : Logout Request</t>
  </si>
  <si>
    <t>Operations : Information : General Disk Information</t>
  </si>
  <si>
    <t>Audit : Access Revoked : Account Disabled</t>
  </si>
  <si>
    <t>Audit : Access Success : Object Deleted/Removed</t>
  </si>
  <si>
    <t>Operations : Information : Rotation Information</t>
  </si>
  <si>
    <t>Operations : Information : Backup Completed</t>
  </si>
  <si>
    <t>Audit : Configuration : Configuration Modified : System</t>
  </si>
  <si>
    <t>Operations : Information : General Performance Statistics</t>
  </si>
  <si>
    <t>Operations : Information : Update Successful</t>
  </si>
  <si>
    <t>Operations : Information : Database Update Event</t>
  </si>
  <si>
    <t>Security : Activity : Quarantine</t>
  </si>
  <si>
    <t>Audit : Access Success : Object Added</t>
  </si>
  <si>
    <t>Audit : Other Audit : General Policy Compliance Information</t>
  </si>
  <si>
    <t>Operations : Error : General IPSec Error</t>
  </si>
  <si>
    <t>Operations : Error :  IPSec Progress Error</t>
  </si>
  <si>
    <t>Operations : Information : General IPSec Information</t>
  </si>
  <si>
    <t>Operation : Information : Notification Of An IPSec Negotiation</t>
  </si>
  <si>
    <t>Operations : Error : IPSec Negotiation Error</t>
  </si>
  <si>
    <t>Operations : Information : IPSec Information Message</t>
  </si>
  <si>
    <t>Operations : Information : Installed IPSec Security Association</t>
  </si>
  <si>
    <t>Operations : Information : General TUNNEL Message</t>
  </si>
  <si>
    <t>Operations : Warning : VPN Tunnel Failure</t>
  </si>
  <si>
    <t>Operations : Information : Certificate Valid</t>
  </si>
  <si>
    <t>Operations : Network Traffic : VPN Session Started</t>
  </si>
  <si>
    <t>Security : Activity : Certificate Renewal Request</t>
  </si>
  <si>
    <t>Audit : Other Audit Success : General Audit</t>
  </si>
  <si>
    <t>Wireless Rogue Offair</t>
  </si>
  <si>
    <t>LOG_ID_CONNECTOR_OBJECT_ADD</t>
  </si>
  <si>
    <t>LOG_ID_CONNECTOR_OBJECT_REMOVE</t>
  </si>
  <si>
    <t>LOG_ID_CONNECTOR_API_FAILED</t>
  </si>
  <si>
    <t>LOG_ID_CONNECTOR_OBJECT_UPDATE</t>
  </si>
  <si>
    <t>LOG_ID_CONNECTOR_OBJECT_CANT_ADD</t>
  </si>
  <si>
    <t>Audit : Access Failure : Add Object Failure</t>
  </si>
  <si>
    <t>LOG_ID_CONNECTOR_OBJECT_CANT_REMOVE</t>
  </si>
  <si>
    <t>Audit : Access Failure : Delete/Remove Object Failure</t>
  </si>
  <si>
    <t>LOG_ID_EVENT_EXT_SYS</t>
  </si>
  <si>
    <t>LOG_ID_EVENT_EXT_LOCAL</t>
  </si>
  <si>
    <t>Operations : Information : General System Information</t>
  </si>
  <si>
    <t>LOG_ID_EVENT_EXT_LOCAL_ERROR</t>
  </si>
  <si>
    <t>LOG_ID_EVENT_EXT_REMOTE_EMERG</t>
  </si>
  <si>
    <t>Operations : Critical : General Emergency Condition</t>
  </si>
  <si>
    <t>LOG_ID_EVENT_EXT_REMOTE_ALERT</t>
  </si>
  <si>
    <t>LOG_ID_EVENT_EXT_REMOTE_ERROR</t>
  </si>
  <si>
    <t>LOG_ID_EVENT_EXT_REMOTE_WARNING</t>
  </si>
  <si>
    <t>LOG_ID_EVENT_EXT_REMOTE_NOTIF</t>
  </si>
  <si>
    <t>LOG_ID_EVENT_EXT_REMOTE_INFO</t>
  </si>
  <si>
    <t>LOG_ID_EVENT_EXT_REMOTE_DEBUG</t>
  </si>
  <si>
    <t>LOG_ID_EVENT_REST_API_OK</t>
  </si>
  <si>
    <t>Operations : Information : Request Received</t>
  </si>
  <si>
    <t>Operations : Error : Request Rejected</t>
  </si>
  <si>
    <t>LOG_ID_FGT_SWITCH_LOG_DISCOVER</t>
  </si>
  <si>
    <t>Operations : Information : Switch Information</t>
  </si>
  <si>
    <t>LOG_ID_FGT_SWITCH_LOG_AUTH</t>
  </si>
  <si>
    <t>LOG_ID_FGT_SWITCH_LOG_DEAUTH</t>
  </si>
  <si>
    <t>Audit : Access Revoked : Privilege Revoked</t>
  </si>
  <si>
    <t>LOG_ID_FGT_SWITCH_LOG_DELETE</t>
  </si>
  <si>
    <t>LOG_ID_FGT_SWITCH_LOG_TUNNEL_UP</t>
  </si>
  <si>
    <t>LOG_ID_FGT_SWITCH_LOG_TUNNEL_DOWN</t>
  </si>
  <si>
    <t>Operations : Error : Connection Is Down</t>
  </si>
  <si>
    <t>LOG_ID_FGT_SWITCH_PUSH_IMAGE</t>
  </si>
  <si>
    <t>LOG_ID_FGT_SWITCH_STAGE_IMAGE</t>
  </si>
  <si>
    <t>LOG_ID_FGT_SWITCH_DISABLE_DISCOVERY</t>
  </si>
  <si>
    <t>Operations : Information : Feauture Disabled</t>
  </si>
  <si>
    <t>LOG_ID_FGT_SWITCH_LOG_WARNING</t>
  </si>
  <si>
    <t>LOG_ID_FGT_SWITCH_EXPORT_POOL</t>
  </si>
  <si>
    <t>LOG_ID_FGT_SWITCH_EXPORT_VDOM</t>
  </si>
  <si>
    <t>LOG_ID_FGT_SWITCH_REQUEST_PORT</t>
  </si>
  <si>
    <t>LOG_ID_FGT_SWITCH_RETURN_PORT</t>
  </si>
  <si>
    <t>LOG_ID_FGT_SWITCH_MAC_ADD</t>
  </si>
  <si>
    <t>LOG_ID_FGT_SWITCH_MAC_DEL</t>
  </si>
  <si>
    <t>LOG_ID_FGT_SWITCH_MAC_MOVE</t>
  </si>
  <si>
    <t>Operations : Information : MAC Move Notification Feature Info Msg</t>
  </si>
  <si>
    <t>LOG_ID_FGT_SWITCH_GROUP_SWC</t>
  </si>
  <si>
    <t>LOG_ID_FGT_SWITCH_GROUP_POE</t>
  </si>
  <si>
    <t>LOG_ID_FGT_SWITCH_GROUP_LINK</t>
  </si>
  <si>
    <t>LOG_ID_FGT_SWITCH_GROUP_STP</t>
  </si>
  <si>
    <t>Operations : Critical : Spanning Tree Alert</t>
  </si>
  <si>
    <t>LOG_ID_FGT_SWITCH_GROUP_SWITCH</t>
  </si>
  <si>
    <t>LOG_ID_FGT_SWITCH_GROUP_ROUTER</t>
  </si>
  <si>
    <t>LOG_ID_FGT_SWITCH_GROUP_SYSTEM</t>
  </si>
  <si>
    <t>LOG_ID_SSH_COMMAND_BLOCK</t>
  </si>
  <si>
    <t>LOG_ID_SSH_COMMAND_BLOCK_ALERT</t>
  </si>
  <si>
    <t>LOG_ID_SSH_COMMAND_PASS</t>
  </si>
  <si>
    <t>Operations : Information : Command String</t>
  </si>
  <si>
    <t>LOG_ID_SSH_COMMAND_PASS_ALERT</t>
  </si>
  <si>
    <t>LOG_ID_SSH_CHANNEL_BLOCK</t>
  </si>
  <si>
    <t>LOG_ID_SSH_CHANNEL_PASS</t>
  </si>
  <si>
    <t>Operations : Information : Channel Status</t>
  </si>
  <si>
    <t>LOG_ID_SSL_CERT_BLACKLISTED</t>
  </si>
  <si>
    <t>LOG_ID_SSL_CERT_PASS</t>
  </si>
  <si>
    <t>Operations : Information : SSL Certificate Verified</t>
  </si>
  <si>
    <t>LOG_ID_SSL_CERT_BLOCK</t>
  </si>
  <si>
    <t>LOG_ID_SSL_EXEMPT</t>
  </si>
  <si>
    <t>LOG_ID_SSL_HS_CERT_REQ_EXEMPT</t>
  </si>
  <si>
    <t>LOG_ID_SSL_HS_CERT_REQ_BLOCK</t>
  </si>
  <si>
    <t>LOG_ID_SSL_HS_UNSUPPROTED_EXEMPT</t>
  </si>
  <si>
    <t>LOG_ID_SSL_HS_UNSUPPORTED_BLOCK</t>
  </si>
  <si>
    <t>Operations : Network Traffic : Traffic Redirected</t>
  </si>
  <si>
    <t>LOG_ID_SSL_EXEMPT_ADDR</t>
  </si>
  <si>
    <t>Operations : Information : Connection Information</t>
  </si>
  <si>
    <t>LOG_ID_SSL_EXEMPT_FTGD_CAT</t>
  </si>
  <si>
    <t>WAN Status</t>
  </si>
  <si>
    <t>WAN Volume Status</t>
  </si>
  <si>
    <t>WAN SLA Info</t>
  </si>
  <si>
    <t>WAN Neighbor Status</t>
  </si>
  <si>
    <t>WAN Neighbor Standalone</t>
  </si>
  <si>
    <t>WAN Neighbor Primary</t>
  </si>
  <si>
    <t>WAN Neighbor Secondary</t>
  </si>
  <si>
    <t>WAN Neighbor Status Warn</t>
  </si>
  <si>
    <t>WAN Neighbor SLA Info Warn</t>
  </si>
  <si>
    <t>17/10/2023</t>
  </si>
  <si>
    <t>Updated/modified the subrules in the following sheets :
Traffic-Forward
Traffic-local
Traffic-multicast
Traffic-sniffer
Event-System
Event-VPN
Event-Security Ratings
UTM-Antivirus
UTM-Web Filter
UTM-DNS
UTM-app-ctrl
UTM-DLP
UTM-SSL
Added new subrules in the following sheets (No subrules were there earlier):
Event-SD Wan
Event-Connector
Event-FortiExtender
Event-FortiSwitch
Event-REST API
UTM-SSH</t>
  </si>
  <si>
    <t>unauthuser</t>
  </si>
  <si>
    <t>10 04 2023 17:41:01 10.1.1.1 &lt;LOC7:NOTE&gt; date=2023-10-04 time=17:41:01 devname="FGT2KE3916900260" devid="FGT2KE3916900260" eventtime=1696455661443857864 tz="-0400" logid="0000000020" type="traffic" subtype="forward" level="notice" vd="E2-Intertap" srcip=10.1.1.2 srcname="IPG-EDI-PCPD    " srcport=52082 srcintf="PolyAir-SRV-762" srcintfrole="lan" dstip=10.1.1.3 dstport=1433 dstintf="ITAPE-SRV737" dstintfrole="lan" srccountry="Reserved" dstcountry="Reserved" sessionid=2584220422 proto=6 action="accept" policyid=80 policytype="policy" poluuid="5fd38196-98d0-51ea-dd2d-b87584d5c453" policyname="*TEMP* DMZ 10.252.7 to SVR" service="MS-SQL" trandisp="noop" duration=184194 sentbyte=837051844 rcvdbyte=1304785055 sentpkt=3020362 rcvdpkt=3206710 appcat="unscanned" sentdelta=1649330 rcvddelta=1536387 srchwvendor="VMware" devtype="Server" srcfamily="Virtual Machine" osname="Windows" srchwversion="Virtual Machine" srcswversion="10 / 2016" unauthuser="UserName1" unauthusersource="kerberos" mastersrcmac="0A:2B:34:d4:51:8e" srcmac="0A:2B:34:d4:51:8e" srcserver=0</t>
  </si>
  <si>
    <t>Unauthenticated user name</t>
  </si>
  <si>
    <t>policyname</t>
  </si>
  <si>
    <t>srcname</t>
  </si>
  <si>
    <t>srchwvendor</t>
  </si>
  <si>
    <t>devtype</t>
  </si>
  <si>
    <t>srcfamily</t>
  </si>
  <si>
    <t>srchwversion</t>
  </si>
  <si>
    <t>srcswversion</t>
  </si>
  <si>
    <t>unauthusersource</t>
  </si>
  <si>
    <t>Policy name</t>
  </si>
  <si>
    <t>Delta Sent Bytes</t>
  </si>
  <si>
    <t>Delta Received Bytes</t>
  </si>
  <si>
    <t>The method used to detect unauthenticated user name</t>
  </si>
  <si>
    <t>18/10/2023</t>
  </si>
  <si>
    <t>Traffic-Forward:
mapped  "unauthuser" to &lt;login&gt;
Added the below new vendorfields as per the shared logs.
policyname
srcname
sentdelta
rcvddelta
srchwvendor
devtype
srcfamily
srchwversion
srcswversion
unauthuser
unauthusersource</t>
  </si>
  <si>
    <t>Device Type</t>
  </si>
  <si>
    <t>Source Name</t>
  </si>
  <si>
    <t>Operations : Critical : FortiGuard Service Not Enabled</t>
  </si>
  <si>
    <t>UTM-Web Filter : updated the CE for the vmid 12557 in subrule part
Traffic-sniffer: tagged &lt;tag2&gt; for "utmaction"</t>
  </si>
  <si>
    <t>19/10/2023</t>
  </si>
  <si>
    <t>Traffic-Forward : updated the CE for "13_Traffic Session Denied"</t>
  </si>
  <si>
    <t>Operations : Network Deny : Traffic Denied by Network Firewall</t>
  </si>
  <si>
    <t>13_Forward Traffic Client-rst</t>
  </si>
  <si>
    <t>13_Forward Traffic Server-rst</t>
  </si>
  <si>
    <t>added 2 new sub rules for 13_Forward Traffic Client-rst and 13_Forward Traffic Server-rst</t>
  </si>
  <si>
    <t>VOIP</t>
  </si>
  <si>
    <t>UTM : VOIP</t>
  </si>
  <si>
    <t>type="utm" subtype="VOIP"</t>
  </si>
  <si>
    <t>timestamp</t>
  </si>
  <si>
    <t>event_id</t>
  </si>
  <si>
    <t>src_port</t>
  </si>
  <si>
    <t>1.1.1.1</t>
  </si>
  <si>
    <t>dst_port</t>
  </si>
  <si>
    <t>src_int</t>
  </si>
  <si>
    <t>dst_int</t>
  </si>
  <si>
    <t>policy_id</t>
  </si>
  <si>
    <t>voip_proto</t>
  </si>
  <si>
    <t>kind</t>
  </si>
  <si>
    <t>call_id</t>
  </si>
  <si>
    <t>from</t>
  </si>
  <si>
    <t>to</t>
  </si>
  <si>
    <t>logsrc</t>
  </si>
  <si>
    <t>logver</t>
  </si>
  <si>
    <t>&lt;version&gt;</t>
  </si>
  <si>
    <t>&lt;seconds&gt;</t>
  </si>
  <si>
    <t>&lt;sender&gt;</t>
  </si>
  <si>
    <t>&lt;recipient&gt;</t>
  </si>
  <si>
    <t>UTM-VOIP sheet added</t>
  </si>
  <si>
    <t>Systemevent</t>
  </si>
  <si>
    <t>type="systemevent" subtype="endpoint"</t>
  </si>
  <si>
    <t>itime</t>
  </si>
  <si>
    <t>fctsn</t>
  </si>
  <si>
    <t>id</t>
  </si>
  <si>
    <t>uid</t>
  </si>
  <si>
    <t>pcdomain</t>
  </si>
  <si>
    <t>deviceip</t>
  </si>
  <si>
    <t>devicemac</t>
  </si>
  <si>
    <t>site</t>
  </si>
  <si>
    <t>fctver</t>
  </si>
  <si>
    <t>fgtserial</t>
  </si>
  <si>
    <t>emsserial</t>
  </si>
  <si>
    <t>usingpolicy</t>
  </si>
  <si>
    <t>os</t>
  </si>
  <si>
    <t>emshostname</t>
  </si>
  <si>
    <t>emsip</t>
  </si>
  <si>
    <t xml:space="preserve">fortiems01 </t>
  </si>
  <si>
    <t xml:space="preserve">FCTEMS0000103028 </t>
  </si>
  <si>
    <t xml:space="preserve">default </t>
  </si>
  <si>
    <t xml:space="preserve">FCT8002032625413 </t>
  </si>
  <si>
    <t xml:space="preserve">systemevent </t>
  </si>
  <si>
    <t xml:space="preserve">endpoint </t>
  </si>
  <si>
    <t xml:space="preserve">status </t>
  </si>
  <si>
    <t xml:space="preserve">info </t>
  </si>
  <si>
    <t xml:space="preserve">683F8AEB9E97425A8109B438BB74FEB7 </t>
  </si>
  <si>
    <t xml:space="preserve">server01 </t>
  </si>
  <si>
    <t xml:space="preserve">logrhythm.com </t>
  </si>
  <si>
    <t xml:space="preserve">10.1.1.1 </t>
  </si>
  <si>
    <t xml:space="preserve">A1-B2-C3-D4-E5-D6 </t>
  </si>
  <si>
    <t xml:space="preserve">7.0.8.0427 </t>
  </si>
  <si>
    <t xml:space="preserve">N/A </t>
  </si>
  <si>
    <t xml:space="preserve">STFC - Domain Joined Devices </t>
  </si>
  <si>
    <t xml:space="preserve">Microsoft Windows 10 Enterprise Edition, 64-bit (build 19045) </t>
  </si>
  <si>
    <t xml:space="preserve">user1 </t>
  </si>
  <si>
    <t xml:space="preserve">Endpoint Control Registration Status Changed </t>
  </si>
  <si>
    <t xml:space="preserve">server02.logrhythm.com </t>
  </si>
  <si>
    <t xml:space="preserve">Registered </t>
  </si>
  <si>
    <t xml:space="preserve">fortiems02.logrhythm.com </t>
  </si>
  <si>
    <t>+0000</t>
  </si>
  <si>
    <t>&lt;domainorigin&gt;</t>
  </si>
  <si>
    <t>702051517</t>
  </si>
  <si>
    <t>1698316760</t>
  </si>
  <si>
    <t>Downtown_200F_FG200FT922911933</t>
  </si>
  <si>
    <t>FG200FT922911933</t>
  </si>
  <si>
    <t>voip</t>
  </si>
  <si>
    <t>voice</t>
  </si>
  <si>
    <t>astound_fiber</t>
  </si>
  <si>
    <t>default</t>
  </si>
  <si>
    <t>sip</t>
  </si>
  <si>
    <t>register</t>
  </si>
  <si>
    <t>permit</t>
  </si>
  <si>
    <t>authentication-required</t>
  </si>
  <si>
    <t>session_origin</t>
  </si>
  <si>
    <t>09534652-283affc8@10.1.200.177</t>
  </si>
  <si>
    <t>sip:*5170@10.0.200.20:5060</t>
  </si>
  <si>
    <t>voipd</t>
  </si>
  <si>
    <t>08 15 2023 13:29:37 10.1.1.2 &lt;LOC7:INFO&gt; timestamp=1692106162 devname="fortiems01" devid="FCTEMS0000103028" vd="default" itime=1692102562 fctsn="FCT8002032625413" date="2023-08-15" time="13:29:22" logver=2 id=96955 type="systemevent" subtype="endpoint" eventtype="status" level="info" uid="683F8AEB9E97425A8109B438BB74FEB7" hostname="server01" pcdomain="logrhythm.com" deviceip=10.1.1.1 devicemac="A1-B2-C3-D4-E5-D6" site="default" fctver="7.0.8.0427" fgtserial="N/A" emsserial="FCTEMS0000103028" usingpolicy="STFC - Domain Joined Devices" os="Microsoft Windows 10 Enterprise Edition, 64-bit (build 19045)" user="user1" msg="Endpoint Control Registration Status Changed" emshostname="server02.logrhythm.com" status="Registered" emsip=fortiems02.logrhythm.com tz="+0000"</t>
  </si>
  <si>
    <t>08 15 2023 13:29:37 10.1.1.2 &lt;LOC7:INFO&gt; timestamp=1692106162 devname="server02" devid="FCTEMS0000103028" vd="default" itime=1692102562 fctsn="FCT8002032625413" date="2023-08-15" time="13:29:22" logver=2 id=96953 type="systemevent" subtype="endpoint" eventtype="status" level="info" uid="683F8AEB9E97425A8109B438BB74FEB7" hostname="server01" pcdomain="logrhythm.com" deviceip=10.1.1.1 devicemac="A1-B2-C3-D4-E5-D6" site="default" fctver="7.0.8.0427" fgtserial="N/A" emsserial="FCTEMS0000103028" usingpolicy="STFC - Domain Joined Devices" os="Microsoft Windows 10 Enterprise Edition, 64-bit (build 19045)" user="user1" msg="Endpoint Control Status Changed" eponlinest="regonline" epplace="onnet" emshostname="server02.logrhythm.com" status="Online Onnet" tz="+0000"</t>
  </si>
  <si>
    <t>10 26 2023 10:39:25 10.1.1.3 &lt;LOC7:INFO&gt; logver=702051517 timestamp=1698316760 devname="Downtown_200F_FG200FT922911933" devid="FG200FT922911933" vd="root" date=2023-10-26 time=10:39:20 eventtime=1698334759846574753 tz="-0500" logid="0814044032" type="utm" subtype="voip" eventtype="voip" level="information" session_id=55221 epoch=0 event_id=76 srcip=10.1.1.1 src_port=5060 dstip=1.1.1.1 dst_port=5060 proto=17 src_int="voice" dst_int="astound_fiber" policy_id=36 profile="default" voip_proto="sip" kind="register" action="permit" status="authentication-required" duration=0 dir="session_origin" call_id="09534652-283affc8@10.1.200.177" from="sip:*5170@10.0.200.20:5060" to="sip:*5170@10.0.200.20:5060" logsrc="voipd"</t>
  </si>
  <si>
    <t>08 15 2023 13:29:37 10.1.1.2 &lt;LOC7:INFO&gt; timestamp=1692106164 devname="fortiems01" devid="FCTEMS0000103028" vd="default" itime=1692102564 fctsn="FCT8002032625413" date="2023-08-15" time="13:29:24" logver=2 id=96823 type="systemevent" subtype="system" eventtype="status" level="info" uid="683F8AEB9E97425A8109B438BB74FEB7" hostname="server01" pcdomain="logrhythm.com" deviceip=10.1.1.1 devicemac="A1-B2-C3-D4-E5-D6" site="default" fctver="7.0.8.0427" fgtserial="N/A" emsserial="FCTEMS0000103028" usingpolicy="STFC - Domain Joined Devices" os="Microsoft Windows 10 Enterprise Edition, 64-bit (build 19045)" user="user1" msg="Checking for updates" tz="+0000"</t>
  </si>
  <si>
    <t>08 15 2023 13:29:37 10.1.1.2 &lt;LOC7:INFO&gt; timestamp=1692106162 devname="fortiems01" devid="FCTEMS0000103028" vd="default" itime=1692102562 fctsn="FCT8002032625413" date="2023-08-15" time="13:29:22" logver=2 id=96882 type="systemevent" subtype="system" eventtype="status" level="info" uid="683F8AEB9E97425A8109B438BB74FEB7" hostname="server01" pcdomain="logrhythm.com" deviceip=10.1.1.1 devicemac="A1-B2-C3-D4-E5-D6" site="default" fctver="7.0.8.0427" fgtserial="N/A" emsserial="FCTEMS0000103028" usingpolicy="STFC - Domain Joined Devices" os="Microsoft Windows 10 Enterprise Edition, 64-bit (build 19045)" user="user1" msg="Logged when push configuration is received" policyname="STFC - Domain Joined Devices" tz="+0000"</t>
  </si>
  <si>
    <t>type="systemevent" subtype="system"</t>
  </si>
  <si>
    <t xml:space="preserve">system </t>
  </si>
  <si>
    <t xml:space="preserve">Checking for updates </t>
  </si>
  <si>
    <t>STFC - Domain Joined Devices</t>
  </si>
  <si>
    <t>https</t>
  </si>
  <si>
    <t>Operations : Network Traffic : HTTPS Request</t>
  </si>
  <si>
    <t>type="traffic" subtype="https"</t>
  </si>
  <si>
    <t>06 14 2023 02:59:36 172.24.12.200 &lt;LOC7:INFO&gt; logver=700010081 timestamp=1685438007 devname="MMC-FortiWeb" devid="FV-2KET621000050" vd="root" itime=1685448591 logver=0700010081 date=2023-05-30 time=08:13:27 log_id="30001000" msg_id=000983356217 devname="MMC-FortiWeb" device_id="FV-2KET621000050" timezone="(GMT-5:00)Eastern Time(US &amp; Canada)" timezone_dayst="GMTa+4" type="traffic" subtype="https" pri="notice" proto="tcp" service="https/tls1.3" status="success" reason="none" policy="mychart.mainehealth.org" original_src=10.1.1.1 src=10.1.1.1 src_port=50038 dst=63.247.50.72 dst_port=443 http_request_time=0 http_response_time=0 http_request_bytes=211 http_response_bytes=1891 http_method="get" http_url="/mychart/favicon.ico" http_agent="Mozilla/5.0 (X11; Ubuntu; Linux x86_64; rv:109.0) Gecko/20100101 Firefox/113.0" http_retcode=404 msg="HTTPS get request from 10.1.1.1:50038 to 63.247.50.72:443" original_srccountry="United States" srccountry="United States" content_switch_name="none" server_pool_name="netscaler.mychart.mainehealth.org" http_host="mychart.mainehealth.org" user_name="Unknown" http_refer="none" http_version="1.x" dev_id="970AA3169C330474D44228669E3F2654670F" cipher_suite="TLS_AES_256_GCM_SHA384" x509_cert_subject=none tz="-0100"</t>
  </si>
  <si>
    <t>log_id</t>
  </si>
  <si>
    <t>msg_id</t>
  </si>
  <si>
    <t>device_id</t>
  </si>
  <si>
    <t>timezone</t>
  </si>
  <si>
    <t>timezone_dayst</t>
  </si>
  <si>
    <t>pri</t>
  </si>
  <si>
    <t>original_src</t>
  </si>
  <si>
    <t>src</t>
  </si>
  <si>
    <t>dst</t>
  </si>
  <si>
    <t>http_request_time</t>
  </si>
  <si>
    <t>http_response_time</t>
  </si>
  <si>
    <t>http_request_bytes</t>
  </si>
  <si>
    <t>http_response_bytes</t>
  </si>
  <si>
    <t>http_method</t>
  </si>
  <si>
    <t>http_url</t>
  </si>
  <si>
    <t>http_agent</t>
  </si>
  <si>
    <t>http_retcode</t>
  </si>
  <si>
    <t>original_srccountry</t>
  </si>
  <si>
    <t>content_switch_name</t>
  </si>
  <si>
    <t>server_pool_name</t>
  </si>
  <si>
    <t>http_host</t>
  </si>
  <si>
    <t>user_name</t>
  </si>
  <si>
    <t>http_refer</t>
  </si>
  <si>
    <t>http_version</t>
  </si>
  <si>
    <t>dev_id</t>
  </si>
  <si>
    <t>cipher_suite</t>
  </si>
  <si>
    <t>x509_cert_subject</t>
  </si>
  <si>
    <t xml:space="preserve">MMC-FortiWeb </t>
  </si>
  <si>
    <t xml:space="preserve">FV-2KET621000050 </t>
  </si>
  <si>
    <t xml:space="preserve">root </t>
  </si>
  <si>
    <t xml:space="preserve">(GMT-5:00)Eastern Time(US &amp; Canada) </t>
  </si>
  <si>
    <t xml:space="preserve">GMTa+4 </t>
  </si>
  <si>
    <t xml:space="preserve">traffic </t>
  </si>
  <si>
    <t xml:space="preserve">https </t>
  </si>
  <si>
    <t xml:space="preserve">notice </t>
  </si>
  <si>
    <t xml:space="preserve">tcp </t>
  </si>
  <si>
    <t xml:space="preserve">https/tls1.3 </t>
  </si>
  <si>
    <t xml:space="preserve">success </t>
  </si>
  <si>
    <t xml:space="preserve">none </t>
  </si>
  <si>
    <t xml:space="preserve">mychart.mainehealth.org </t>
  </si>
  <si>
    <t xml:space="preserve">get </t>
  </si>
  <si>
    <t xml:space="preserve">/mychart/favicon.ico </t>
  </si>
  <si>
    <t xml:space="preserve">Mozilla/5.0 (X11; Ubuntu; Linux x86_64; rv:109.0) Gecko/20100101 Firefox/113.0 </t>
  </si>
  <si>
    <t xml:space="preserve">United States </t>
  </si>
  <si>
    <t xml:space="preserve">netscaler.mychart.mainehealth.org </t>
  </si>
  <si>
    <t xml:space="preserve">Unknown </t>
  </si>
  <si>
    <t xml:space="preserve">1.x </t>
  </si>
  <si>
    <t xml:space="preserve">970AA3169C330474D44228669E3F2654670F </t>
  </si>
  <si>
    <t xml:space="preserve">TLS_AES_256_GCM_SHA384 </t>
  </si>
  <si>
    <t>-0100</t>
  </si>
  <si>
    <t>&lt;process&gt;</t>
  </si>
  <si>
    <t>&lt;responsecode&gt;</t>
  </si>
  <si>
    <t xml:space="preserve">HTTPS get request from 10.1.1.1:50038 to 10.1.1.3:443 </t>
  </si>
  <si>
    <t>Operations : Network Traffic : System Event</t>
  </si>
  <si>
    <t>type="traffic" subtype="system"</t>
  </si>
  <si>
    <t>srcproduct</t>
  </si>
  <si>
    <t>remotename</t>
  </si>
  <si>
    <t>utmevent</t>
  </si>
  <si>
    <t>threat</t>
  </si>
  <si>
    <t>userinitiated</t>
  </si>
  <si>
    <t>browsetime</t>
  </si>
  <si>
    <t xml:space="preserve">FCT8000121996860 </t>
  </si>
  <si>
    <t xml:space="preserve">8313DE62486B44AE8B382805DD466650 </t>
  </si>
  <si>
    <t xml:space="preserve">Traffic log </t>
  </si>
  <si>
    <t xml:space="preserve">chrome.exe </t>
  </si>
  <si>
    <t xml:space="preserve">Google Chrome </t>
  </si>
  <si>
    <t xml:space="preserve">outbound </t>
  </si>
  <si>
    <t xml:space="preserve">10.1.1.3 </t>
  </si>
  <si>
    <t xml:space="preserve">passthrough </t>
  </si>
  <si>
    <t xml:space="preserve">webfilter </t>
  </si>
  <si>
    <t xml:space="preserve">General Interest - Personal:Reference </t>
  </si>
  <si>
    <t xml:space="preserve">http </t>
  </si>
  <si>
    <t xml:space="preserve">http://logrhythm.com/views/view-cloud-openstack.php?_=1691779441606 </t>
  </si>
  <si>
    <t>server01</t>
  </si>
  <si>
    <t>08 15 2023 13:29:37 10.1.1.2 &lt;LOC7:INFO&gt; timestamp=1692103649 devname="fortiems01" devid="FCTEMS0000103028" vd="default" itime=1692100049 fctsn="FCT8000121996860" date="2023-08-15" time="12:47:29" logver=2 id=96900 type="traffic" subtype="system" eventtype="traffic" level="info" uid="8313DE62486B44AE8B382805DD466650" hostname="server01" pcdomain="escdc.fed.cclrc.ac.uk" deviceip=10.1.1.1 devicemac="A1-B2-C3-D4-E5-D6" site="default" fctver="7.0.8.0427" fgtserial="N/A" emsserial="FCTEMS0000103028" usingpolicy="STFC - Domain Joined Devices" os="Microsoft Windows 10 Enterprise Edition, 64-bit (build 19045)" user="user1" msg="Traffic log" sessionid=3518147967 srcname="chrome.exe" srcproduct="Google Chrome" srcip=10.1.1.1 srcport=54090 direction="outbound" dstip=10.1.1.3 remotename="logrhythm.com" dstport=20480 proto=6 rcvdbyte=0 sentbyte=0 utmaction="passthrough" utmevent="webfilter" threat="General Interest - Personal:Reference" service="http" userinitiated=0 browsetime=0 url="http://logrhythm.com/views/view-cloud-openstack.php?_=1691779441606" tz="+0000"</t>
  </si>
  <si>
    <t>emailfilter</t>
  </si>
  <si>
    <t>10 04 2023 12:24:04 10.1.1.1 &lt;LOC7:NOTE&gt; logver=702051517 timestamp=1696422243 devname="DataCenter_200F" devid="FG200FT920905314" vd="root" date=2023-10-04 time=12:24:03 eventtime=1696440242354372764 tz="-0500" logid="0513020480" type="utm" subtype="emailfilter" eventtype="spam" level="notice" policyid=2390 poluuid="6256db16-1f28-51ee-4214-d15ec7ff506d" policytype="policy" sessionid=92273386 srcip=10.1.1.2 srcport=53354 srccountry="United States" srcintf="wan" srcintfrole="wan" srcuuid="4fe9d568-106f-51ee-35ec-80b1bfbe0693" dstip=10.1.1.3 dstport=25 dstcountry="Reserved" dstintf="production" dstintfrole="lan" dstuuid="5c669bfc-891d-51e8-7043-3f789f813265" proto=6 service="SMTPS" profile="email_security_filter" action="blocked" from="user1@logrhythm.com" to="user2@logrhythm.com" sender="bounces+1121182-dbce-user2=logrhythm.com@em9547.logrhythm.com" recipient="user2@logrhythm.com" direction="outgoing" subject="BREAKING: Feds Say Bankman-Fried 'Lied To The World' As Trial Opens" size="28967" attachment="no" fortiguardresp="uri:https://www.law360.com/banking?nl_pk=b7029c1f-1cb5-4281-b194-ff67ef08acc6&amp;utm_source=newsletter&amp;utm_medium=email&amp;utm_campaign=banking&amp;utm_content=1728962 https://www.law360.com/pixel?nl_pk=b7029c1f-1cb5-4281-b194-ff67ef08acc6&amp;utm_source=newsletter&amp;utm_medium=email&amp;utm_campaign=banking&amp;utm_content=1728962 https://itunes.apple.com/us/app/law360-legal-news-analysis/id934560389 https://play.google.com/store/apps/details?id=com.law360_native https://facebook.com/Law360 https://www.linkedin.com/company/law360"</t>
  </si>
  <si>
    <t>type="utm" subtype="emailfilter"</t>
  </si>
  <si>
    <t>sender</t>
  </si>
  <si>
    <t>recipient</t>
  </si>
  <si>
    <t>subject</t>
  </si>
  <si>
    <t>size</t>
  </si>
  <si>
    <t xml:space="preserve">DataCenter_200F </t>
  </si>
  <si>
    <t xml:space="preserve">FG200FT920905314 </t>
  </si>
  <si>
    <t xml:space="preserve">utm </t>
  </si>
  <si>
    <t xml:space="preserve">emailfilter </t>
  </si>
  <si>
    <t xml:space="preserve">spam </t>
  </si>
  <si>
    <t xml:space="preserve">6256db16-1f28-51ee-4214-d15ec7ff506d </t>
  </si>
  <si>
    <t xml:space="preserve">policy </t>
  </si>
  <si>
    <t xml:space="preserve">10.1.1.2 </t>
  </si>
  <si>
    <t xml:space="preserve">wan </t>
  </si>
  <si>
    <t xml:space="preserve">4fe9d568-106f-51ee-35ec-80b1bfbe0693 </t>
  </si>
  <si>
    <t xml:space="preserve">Reserved </t>
  </si>
  <si>
    <t xml:space="preserve">production </t>
  </si>
  <si>
    <t xml:space="preserve">lan </t>
  </si>
  <si>
    <t xml:space="preserve">5c669bfc-891d-51e8-7043-3f789f813265 </t>
  </si>
  <si>
    <t xml:space="preserve">SMTPS </t>
  </si>
  <si>
    <t xml:space="preserve">email_security_filter </t>
  </si>
  <si>
    <t xml:space="preserve">blocked </t>
  </si>
  <si>
    <t xml:space="preserve">user1@logrhythm.com </t>
  </si>
  <si>
    <t xml:space="preserve">user2@logrhythm.com </t>
  </si>
  <si>
    <t xml:space="preserve">bounces+1121182-dbce-user2=logrhythm.com@em9547.logrhythm.com </t>
  </si>
  <si>
    <t xml:space="preserve">outgoing </t>
  </si>
  <si>
    <t xml:space="preserve">BREAKING: Feds Say Bankman-Fried 'Lied To The World' As Trial Opens </t>
  </si>
  <si>
    <t>1696440242354370000</t>
  </si>
  <si>
    <t>Operations : Information : Email Filter Information</t>
  </si>
  <si>
    <t>Added mapping sheet for systemevent-endpoint,systemevent-system,Traffic-https,Traffic-System,UTM-Emailfilter</t>
  </si>
  <si>
    <t>systemevent:endpoint</t>
  </si>
  <si>
    <t>systemevent:system</t>
  </si>
  <si>
    <t>Traffic:HTTPS</t>
  </si>
  <si>
    <t>Traffic:System</t>
  </si>
  <si>
    <t>UTM:Emailfilter</t>
  </si>
  <si>
    <t>Voip SIP</t>
  </si>
  <si>
    <t>Operations : Information : VoIP SIP Message</t>
  </si>
  <si>
    <t>LOGID_EVENT_VOIP_SIP_BLOCK</t>
  </si>
  <si>
    <t>Operations : Information : Access Blocked</t>
  </si>
  <si>
    <t>LOGID_EVENT_VOIP_SIP_FUZZING</t>
  </si>
  <si>
    <t>Audit : Other Audit Success : Session Stopped</t>
  </si>
  <si>
    <t>LOGID_EVENT_VOIP_SCCP_REGISTER</t>
  </si>
  <si>
    <t>Audit : Other Audit Success : Device Registered</t>
  </si>
  <si>
    <t>LOGID_EVENT_VOIP_SCCP_UNREGISTER</t>
  </si>
  <si>
    <t>Operations : Warning : Device Unregistered</t>
  </si>
  <si>
    <t>LOGID_EVENT_VOIP_SCCP_CALL_BLOCK</t>
  </si>
  <si>
    <t>Operations : Information : VoIP SCCP Call Block Message</t>
  </si>
  <si>
    <t>LOGID_EVENT_VOIP_SCCP_CALL_INFO</t>
  </si>
  <si>
    <t>Operations : Information : VoIP SCCP Call Information Message</t>
  </si>
  <si>
    <t>Added subrules for UTM-VOIP</t>
  </si>
  <si>
    <t>WAF</t>
  </si>
  <si>
    <t>UTM : WAF</t>
  </si>
  <si>
    <t>type="utm" subtype="WAF"</t>
  </si>
  <si>
    <t>2023-10-29</t>
  </si>
  <si>
    <t>16:20:03</t>
  </si>
  <si>
    <t>HUBFortiGate1</t>
  </si>
  <si>
    <t>FGVM4VTM19001117</t>
  </si>
  <si>
    <t>10 29 2023 16:20:03 10.100.1.5 &lt;LOC7:WARN&gt; date=2023-10-29 time=16:20:03 devname="HUBFortiGate1" devid="FGVM4VTM19001117" eventtime=1698610802322190000 tz="-0400" logid="1203030258" type="utm" subtype="waf" eventtype="waf-http-constraint" level="warning" vd="root" policyid=12 poluuid="2ac25e90-ac62-51eb-0a77-727fe316027d" policytype="policy" sessionid=401674189 profile="default" srcip=10.1.1.1 srcport=52602 srccountry="United States" srcuuid="282d8334-90ec-51ec-62b6-30b89b2008e6" dstip=10.1.1.2 dstport=443 dstcountry="Reserved" dstuuid="3dd4eae2-43c1-51ec-0c16-a95296394658" srcintf="port1" srcintfrole="undefined" dstintf="port1" dstintfrole="undefined" proto=6 service="HTTPS" url="https://guardianhub.com/Products/PatientsRefillSearchGrid" severity="low" action="passthrough" direction="request" agent="Chrome/118.0.0.0" constraint="param-len"</t>
  </si>
  <si>
    <t>-0400</t>
  </si>
  <si>
    <t>waf</t>
  </si>
  <si>
    <t>waf-http-constraint</t>
  </si>
  <si>
    <t>2ac25e90-ac62-51eb-0a77-727fe316027d</t>
  </si>
  <si>
    <t>282d8334-90ec-51ec-62b6-30b89b2008e6</t>
  </si>
  <si>
    <t>3dd4eae2-43c1-51ec-0c16-a95296394658</t>
  </si>
  <si>
    <t>https://guardianhub.com/Products/PatientsRefillSearchGrid</t>
  </si>
  <si>
    <t>low</t>
  </si>
  <si>
    <t>passthrough</t>
  </si>
  <si>
    <t>request</t>
  </si>
  <si>
    <t>Chrome/118.0.0.0</t>
  </si>
  <si>
    <t>constraint</t>
  </si>
  <si>
    <t>10 17 2023 12:32:53 10.100.1.5 &lt;LOC7:WARN&gt; date=2023-10-17 time=12:32:53 devname="HUBFortiGate1" devid="FGVM4VTM19001117" eventtime=1697560372266646708 tz="-0400" logid="1200030248" type="utm" subtype="waf" eventtype="waf-signature" level="warning" vd="root" policyid=12 poluuid="2ac25e90-ac62-51eb-0a77-727fe316027d" policytype="policy" sessionid=352566701 profile="default" srcip=10.1.1.1 srcport=60292 srccountry="United States" srcuuid="282d8334-90ec-51ec-62b6-30b89b2008e6" dstip=10.1.1.2 dstport=443 dstcountry="Reserved" dstuuid="3dd4eae2-43c1-51ec-0c16-a95296394658" srcintf="port1" srcintfrole="undefined" dstintf="port1" dstintfrole="undefined" proto=6 service="HTTPS" url="https://guardianhub.com/facility/addDrugToQuote?NDC=65862007101&amp;Quantity=999999&amp;Supply=99999&amp;DosageFormName=%3Cscript%3Ealert(1);%3C/script%3E&amp;Strength=400MG/5ML&amp;CompoundType=&amp;PackSize=100&amp;PackDescr=BOTTLE%20%20%20%20" severity="medium" action="blocked" direction="request" agent="Chrome/118.0.5993.70" eventid=10000057 msg="Cross Site Scripting"</t>
  </si>
  <si>
    <t>"Cross Site Scripting"</t>
  </si>
  <si>
    <t>"param-len"</t>
  </si>
  <si>
    <t>The specific type of VOIP event.</t>
  </si>
  <si>
    <t>The specific type of WAF event.</t>
  </si>
  <si>
    <t>The policy ID</t>
  </si>
  <si>
    <t>The policy UID</t>
  </si>
  <si>
    <t>The policy Type</t>
  </si>
  <si>
    <t>The source interface role.</t>
  </si>
  <si>
    <t>The destination interface role.</t>
  </si>
  <si>
    <t>&lt;tag1&gt;
&lt;action&gt;</t>
  </si>
  <si>
    <t>18/11/2023</t>
  </si>
  <si>
    <t>UTM-WAF added</t>
  </si>
  <si>
    <t>UTM WAF Traffic Blocked</t>
  </si>
  <si>
    <t>Operations : Network Deny : Traffic Denied by WAF</t>
  </si>
  <si>
    <t>Operations : Network Allow : Traffic Allowed by Network Firewall</t>
  </si>
  <si>
    <t>Sub rules in traffic-forward, local, multicast, sniffer are change from Operations : Warning : Traffic Denied with Operations : Network Deny : Traffic Denied by Network Firewall &amp; Operations : Network Traffic : General Traffic Allowed with Operations : Network Allow : Traffic Allowed by Network Firewall</t>
  </si>
  <si>
    <t>Operations : Network Deny : Disconnet Session</t>
  </si>
  <si>
    <t>LOG_ID_TRAFFIC_END_FORWARD is now Operations : Network Deny : Disconnet Session in sub-rules (traffic forward)
LOG_ID_TRAFFIC_END_LOCAL is now Operations : Network Deny : Disconnet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</si>
</sst>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00000"/>
  </numFmts>
  <fonts count="20">
    <font>
      <sz val="12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sz val="12"/>
      <color rgb="FF37415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0"/>
    <xf numFmtId="0" fontId="3" fillId="0" borderId="0"/>
    <xf numFmtId="0" fontId="15" fillId="0" borderId="0"/>
    <xf numFmtId="0" fontId="14" fillId="0" borderId="0"/>
    <xf numFmtId="0" fontId="1" fillId="0" borderId="0"/>
    <xf numFmtId="0" fontId="4" fillId="0" borderId="0"/>
    <xf numFmtId="0" fontId="4" fillId="0" borderId="0"/>
  </cellStyleXfs>
  <cellXfs count="114">
    <xf numFmtId="0" fontId="0" fillId="0" borderId="0" xfId="0"/>
    <xf numFmtId="0" fontId="4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wrapText="1"/>
    </xf>
    <xf numFmtId="0" fontId="4" fillId="0" borderId="4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wrapText="1"/>
    </xf>
    <xf numFmtId="0" fontId="5" fillId="0" borderId="0" xfId="0" applyFont="1" applyAlignment="1">
      <alignment wrapText="1"/>
    </xf>
    <xf numFmtId="0" fontId="4" fillId="0" borderId="0" xfId="0" applyFont="1"/>
    <xf numFmtId="0" fontId="6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8" fillId="0" borderId="0" xfId="1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14" fontId="4" fillId="0" borderId="4" xfId="0" applyNumberFormat="1" applyFont="1" applyBorder="1" applyAlignment="1">
      <alignment horizontal="center" wrapText="1"/>
    </xf>
    <xf numFmtId="21" fontId="4" fillId="0" borderId="4" xfId="0" applyNumberFormat="1" applyFont="1" applyBorder="1" applyAlignment="1">
      <alignment horizontal="center" wrapText="1"/>
    </xf>
    <xf numFmtId="0" fontId="9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1" xfId="0" applyFont="1" applyBorder="1" applyAlignment="1">
      <alignment horizontal="left" vertical="center" wrapText="1"/>
    </xf>
    <xf numFmtId="14" fontId="9" fillId="0" borderId="4" xfId="0" applyNumberFormat="1" applyFont="1" applyBorder="1" applyAlignment="1">
      <alignment horizontal="center" wrapText="1"/>
    </xf>
    <xf numFmtId="21" fontId="9" fillId="0" borderId="4" xfId="0" applyNumberFormat="1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49" fontId="4" fillId="0" borderId="4" xfId="0" applyNumberFormat="1" applyFont="1" applyBorder="1" applyAlignment="1">
      <alignment horizontal="center" wrapText="1"/>
    </xf>
    <xf numFmtId="0" fontId="4" fillId="0" borderId="4" xfId="0" applyFont="1" applyBorder="1"/>
    <xf numFmtId="14" fontId="10" fillId="0" borderId="4" xfId="0" applyNumberFormat="1" applyFont="1" applyBorder="1" applyAlignment="1">
      <alignment horizontal="center" wrapText="1"/>
    </xf>
    <xf numFmtId="21" fontId="10" fillId="0" borderId="4" xfId="0" applyNumberFormat="1" applyFont="1" applyBorder="1" applyAlignment="1">
      <alignment horizontal="center" wrapText="1"/>
    </xf>
    <xf numFmtId="0" fontId="10" fillId="0" borderId="4" xfId="0" applyFont="1" applyBorder="1" applyAlignment="1">
      <alignment horizontal="center" wrapText="1"/>
    </xf>
    <xf numFmtId="14" fontId="10" fillId="0" borderId="5" xfId="0" applyNumberFormat="1" applyFont="1" applyBorder="1" applyAlignment="1">
      <alignment horizontal="center" wrapText="1"/>
    </xf>
    <xf numFmtId="1" fontId="10" fillId="0" borderId="4" xfId="0" applyNumberFormat="1" applyFont="1" applyBorder="1" applyAlignment="1">
      <alignment horizontal="center" wrapText="1"/>
    </xf>
    <xf numFmtId="0" fontId="5" fillId="0" borderId="4" xfId="0" applyFont="1" applyBorder="1"/>
    <xf numFmtId="14" fontId="4" fillId="0" borderId="4" xfId="0" applyNumberFormat="1" applyFont="1" applyBorder="1"/>
    <xf numFmtId="0" fontId="0" fillId="0" borderId="4" xfId="0" applyBorder="1"/>
    <xf numFmtId="14" fontId="4" fillId="0" borderId="4" xfId="0" applyNumberFormat="1" applyFont="1" applyBorder="1" applyAlignment="1">
      <alignment horizontal="right"/>
    </xf>
    <xf numFmtId="0" fontId="4" fillId="0" borderId="0" xfId="4" applyFont="1" applyAlignment="1">
      <alignment horizontal="left" vertical="center" wrapText="1"/>
    </xf>
    <xf numFmtId="0" fontId="7" fillId="0" borderId="0" xfId="2" applyFont="1"/>
    <xf numFmtId="0" fontId="4" fillId="0" borderId="0" xfId="5" applyFont="1" applyAlignment="1">
      <alignment wrapText="1"/>
    </xf>
    <xf numFmtId="0" fontId="11" fillId="0" borderId="4" xfId="0" applyFont="1" applyBorder="1" applyAlignment="1">
      <alignment horizontal="center" vertical="center" wrapText="1"/>
    </xf>
    <xf numFmtId="14" fontId="4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4" fillId="0" borderId="4" xfId="3" applyFont="1" applyBorder="1" applyAlignment="1">
      <alignment horizontal="left" vertical="center" wrapText="1"/>
    </xf>
    <xf numFmtId="0" fontId="4" fillId="0" borderId="4" xfId="3" applyFont="1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left" vertical="center" wrapText="1"/>
    </xf>
    <xf numFmtId="14" fontId="0" fillId="0" borderId="4" xfId="0" applyNumberFormat="1" applyBorder="1" applyAlignment="1">
      <alignment horizontal="center" wrapText="1"/>
    </xf>
    <xf numFmtId="21" fontId="0" fillId="0" borderId="4" xfId="0" applyNumberFormat="1" applyBorder="1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49" fontId="4" fillId="0" borderId="4" xfId="6" applyNumberFormat="1" applyFont="1" applyBorder="1"/>
    <xf numFmtId="49" fontId="7" fillId="0" borderId="4" xfId="0" applyNumberFormat="1" applyFont="1" applyBorder="1" applyAlignment="1">
      <alignment horizontal="left" vertical="center"/>
    </xf>
    <xf numFmtId="49" fontId="16" fillId="0" borderId="4" xfId="0" applyNumberFormat="1" applyFont="1" applyBorder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49" fontId="7" fillId="0" borderId="4" xfId="0" applyNumberFormat="1" applyFont="1" applyBorder="1" applyAlignment="1">
      <alignment horizontal="left" vertical="center" wrapText="1"/>
    </xf>
    <xf numFmtId="0" fontId="16" fillId="0" borderId="4" xfId="0" applyFont="1" applyBorder="1" applyAlignment="1">
      <alignment horizontal="center" vertical="center" wrapText="1"/>
    </xf>
    <xf numFmtId="0" fontId="4" fillId="0" borderId="4" xfId="7" applyBorder="1" applyAlignment="1">
      <alignment horizontal="center" vertical="center" wrapText="1"/>
    </xf>
    <xf numFmtId="49" fontId="17" fillId="0" borderId="4" xfId="0" applyNumberFormat="1" applyFont="1" applyBorder="1" applyAlignment="1">
      <alignment horizontal="center" vertical="center"/>
    </xf>
    <xf numFmtId="0" fontId="4" fillId="0" borderId="4" xfId="7" applyBorder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49" fontId="16" fillId="0" borderId="4" xfId="0" applyNumberFormat="1" applyFont="1" applyBorder="1"/>
    <xf numFmtId="49" fontId="7" fillId="0" borderId="4" xfId="0" applyNumberFormat="1" applyFont="1" applyBorder="1" applyAlignment="1">
      <alignment horizontal="center"/>
    </xf>
    <xf numFmtId="49" fontId="7" fillId="0" borderId="4" xfId="0" applyNumberFormat="1" applyFont="1" applyBorder="1" applyAlignment="1">
      <alignment horizontal="left"/>
    </xf>
    <xf numFmtId="0" fontId="4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49" fontId="0" fillId="0" borderId="4" xfId="0" applyNumberFormat="1" applyBorder="1" applyAlignment="1">
      <alignment horizontal="center" wrapText="1"/>
    </xf>
    <xf numFmtId="0" fontId="0" fillId="0" borderId="1" xfId="0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18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49" fontId="10" fillId="0" borderId="4" xfId="0" applyNumberFormat="1" applyFont="1" applyBorder="1" applyAlignment="1">
      <alignment horizontal="center" wrapText="1"/>
    </xf>
    <xf numFmtId="49" fontId="9" fillId="0" borderId="4" xfId="0" applyNumberFormat="1" applyFont="1" applyBorder="1" applyAlignment="1">
      <alignment horizontal="center" wrapText="1"/>
    </xf>
    <xf numFmtId="49" fontId="16" fillId="0" borderId="4" xfId="0" applyNumberFormat="1" applyFont="1" applyBorder="1" applyAlignment="1">
      <alignment wrapText="1"/>
    </xf>
    <xf numFmtId="0" fontId="0" fillId="0" borderId="4" xfId="0" applyBorder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2" fillId="0" borderId="0" xfId="1" applyAlignment="1">
      <alignment horizontal="left" vertical="center" wrapText="1"/>
    </xf>
    <xf numFmtId="164" fontId="4" fillId="0" borderId="4" xfId="0" applyNumberFormat="1" applyFont="1" applyBorder="1" applyAlignment="1">
      <alignment horizontal="center" wrapText="1"/>
    </xf>
    <xf numFmtId="49" fontId="16" fillId="0" borderId="4" xfId="0" applyNumberFormat="1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 wrapText="1"/>
    </xf>
    <xf numFmtId="0" fontId="7" fillId="0" borderId="4" xfId="0" applyFont="1" applyBorder="1"/>
    <xf numFmtId="49" fontId="7" fillId="0" borderId="4" xfId="0" applyNumberFormat="1" applyFont="1" applyBorder="1" applyAlignment="1">
      <alignment horizontal="center" wrapText="1"/>
    </xf>
    <xf numFmtId="49" fontId="7" fillId="0" borderId="4" xfId="0" applyNumberFormat="1" applyFont="1" applyBorder="1" applyAlignment="1">
      <alignment horizontal="left" wrapText="1"/>
    </xf>
    <xf numFmtId="0" fontId="7" fillId="0" borderId="4" xfId="0" applyFont="1" applyBorder="1" applyAlignment="1">
      <alignment wrapText="1"/>
    </xf>
    <xf numFmtId="49" fontId="7" fillId="0" borderId="4" xfId="7" applyNumberFormat="1" applyFont="1" applyBorder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1" fontId="4" fillId="0" borderId="4" xfId="0" applyNumberFormat="1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14" fontId="4" fillId="0" borderId="4" xfId="0" applyNumberFormat="1" applyFont="1" applyBorder="1" applyAlignment="1">
      <alignment horizontal="left" vertical="center"/>
    </xf>
    <xf numFmtId="0" fontId="4" fillId="0" borderId="0" xfId="7" applyAlignment="1">
      <alignment horizontal="left" vertical="center" wrapText="1"/>
    </xf>
    <xf numFmtId="14" fontId="0" fillId="0" borderId="4" xfId="0" applyNumberFormat="1" applyBorder="1" applyAlignment="1">
      <alignment horizontal="center" vertical="center"/>
    </xf>
    <xf numFmtId="21" fontId="0" fillId="0" borderId="4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wrapText="1"/>
    </xf>
    <xf numFmtId="0" fontId="0" fillId="0" borderId="4" xfId="0" applyBorder="1" applyAlignment="1">
      <alignment horizontal="left" vertical="center"/>
    </xf>
    <xf numFmtId="0" fontId="4" fillId="0" borderId="3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49" fontId="0" fillId="0" borderId="4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21" fontId="0" fillId="0" borderId="4" xfId="0" applyNumberFormat="1" applyBorder="1" applyAlignment="1">
      <alignment horizontal="center" vertical="center" wrapText="1"/>
    </xf>
    <xf numFmtId="49" fontId="4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left" vertical="center"/>
    </xf>
    <xf numFmtId="165" fontId="0" fillId="0" borderId="4" xfId="0" applyNumberFormat="1" applyBorder="1" applyAlignment="1">
      <alignment horizontal="center" wrapText="1"/>
    </xf>
    <xf numFmtId="0" fontId="4" fillId="0" borderId="4" xfId="0" quotePrefix="1" applyFont="1" applyBorder="1" applyAlignment="1">
      <alignment horizontal="center" wrapText="1"/>
    </xf>
    <xf numFmtId="11" fontId="4" fillId="0" borderId="4" xfId="0" applyNumberFormat="1" applyFont="1" applyBorder="1" applyAlignment="1">
      <alignment horizontal="center" wrapText="1"/>
    </xf>
    <xf numFmtId="0" fontId="0" fillId="0" borderId="0" xfId="0" applyAlignment="1">
      <alignment wrapText="1"/>
    </xf>
    <xf numFmtId="0" fontId="5" fillId="0" borderId="4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</cellXfs>
  <cellStyles count="9">
    <cellStyle name="Hyperlink" xfId="1" builtinId="8"/>
    <cellStyle name="Normal" xfId="0" builtinId="0"/>
    <cellStyle name="Normal 2" xfId="3" xr:uid="{00000000-0005-0000-0000-000021000000}"/>
    <cellStyle name="Normal 2 2" xfId="8" xr:uid="{B6CDB4BD-A93C-4D13-A6A9-D55EB48D2364}"/>
    <cellStyle name="Normal 2 2 3" xfId="4" xr:uid="{AD5BC849-C385-435C-9450-3DCF3388264D}"/>
    <cellStyle name="Normal 2 4" xfId="2" xr:uid="{00000000-0005-0000-0000-000019000000}"/>
    <cellStyle name="Normal 2 5" xfId="5" xr:uid="{47D9137F-B954-4201-A08C-3832E5B63C20}"/>
    <cellStyle name="Normal 3" xfId="6" xr:uid="{FE7DAD53-A301-46FB-85CD-05BBC1408A79}"/>
    <cellStyle name="Normal 4" xfId="7" xr:uid="{D539C232-0E98-4806-B417-326E71050DBB}"/>
  </cellStyles>
  <dxfs count="7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hyperlink" Target="http://fortinetweb.s3.amazonaws.com/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8"/>
  <sheetViews>
    <sheetView topLeftCell="A16" workbookViewId="0">
      <selection activeCell="A26" sqref="A26"/>
    </sheetView>
  </sheetViews>
  <sheetFormatPr defaultColWidth="11.19921875" defaultRowHeight="15.6"/>
  <cols>
    <col min="1" max="1" width="20" style="7" customWidth="1"/>
    <col min="2" max="2" width="59.296875" style="7" customWidth="1"/>
    <col min="3" max="16384" width="11.19921875" style="7"/>
  </cols>
  <sheetData>
    <row r="1" spans="1:2">
      <c r="A1" s="108" t="s">
        <v>0</v>
      </c>
      <c r="B1" s="108"/>
    </row>
    <row r="2" spans="1:2">
      <c r="A2" s="32" t="s">
        <v>1</v>
      </c>
      <c r="B2" s="32" t="s">
        <v>2</v>
      </c>
    </row>
    <row r="3" spans="1:2">
      <c r="A3" s="33">
        <v>45084</v>
      </c>
      <c r="B3" s="26" t="s">
        <v>3</v>
      </c>
    </row>
    <row r="4" spans="1:2" ht="109.2">
      <c r="A4" s="33">
        <v>45158</v>
      </c>
      <c r="B4" s="3" t="s">
        <v>1106</v>
      </c>
    </row>
    <row r="5" spans="1:2">
      <c r="A5" s="33">
        <v>45174</v>
      </c>
      <c r="B5" s="26" t="s">
        <v>1110</v>
      </c>
    </row>
    <row r="6" spans="1:2" ht="46.8">
      <c r="A6" s="35" t="s">
        <v>1117</v>
      </c>
      <c r="B6" s="3" t="s">
        <v>1118</v>
      </c>
    </row>
    <row r="7" spans="1:2">
      <c r="A7" s="40" t="s">
        <v>1147</v>
      </c>
      <c r="B7" s="26" t="s">
        <v>1148</v>
      </c>
    </row>
    <row r="8" spans="1:2" ht="93.6">
      <c r="A8" s="33" t="s">
        <v>1149</v>
      </c>
      <c r="B8" s="3" t="s">
        <v>1430</v>
      </c>
    </row>
    <row r="9" spans="1:2">
      <c r="A9" s="33"/>
      <c r="B9" s="26" t="s">
        <v>1426</v>
      </c>
    </row>
    <row r="10" spans="1:2">
      <c r="A10" s="26"/>
      <c r="B10" s="26" t="s">
        <v>1427</v>
      </c>
    </row>
    <row r="11" spans="1:2">
      <c r="A11" s="26"/>
      <c r="B11" s="26" t="s">
        <v>1428</v>
      </c>
    </row>
    <row r="12" spans="1:2">
      <c r="A12" s="26"/>
      <c r="B12" s="26" t="s">
        <v>1429</v>
      </c>
    </row>
    <row r="13" spans="1:2">
      <c r="A13" s="26" t="s">
        <v>1434</v>
      </c>
      <c r="B13" s="26" t="s">
        <v>1433</v>
      </c>
    </row>
    <row r="14" spans="1:2" ht="358.8">
      <c r="A14" s="26" t="s">
        <v>1763</v>
      </c>
      <c r="B14" s="3" t="s">
        <v>1764</v>
      </c>
    </row>
    <row r="15" spans="1:2" ht="218.4">
      <c r="A15" s="26" t="s">
        <v>1780</v>
      </c>
      <c r="B15" s="3" t="s">
        <v>1781</v>
      </c>
    </row>
    <row r="16" spans="1:2" ht="31.2">
      <c r="A16" s="26" t="s">
        <v>1786</v>
      </c>
      <c r="B16" s="3" t="s">
        <v>1785</v>
      </c>
    </row>
    <row r="17" spans="1:2">
      <c r="A17" s="91">
        <v>44968</v>
      </c>
      <c r="B17" s="26" t="s">
        <v>1787</v>
      </c>
    </row>
    <row r="18" spans="1:2" ht="31.2">
      <c r="A18" s="33">
        <v>44996</v>
      </c>
      <c r="B18" s="3" t="s">
        <v>1791</v>
      </c>
    </row>
    <row r="19" spans="1:2">
      <c r="A19" s="33">
        <v>45118</v>
      </c>
      <c r="B19" s="26" t="s">
        <v>1814</v>
      </c>
    </row>
    <row r="20" spans="1:2" ht="31.2">
      <c r="A20" s="33">
        <v>45149</v>
      </c>
      <c r="B20" s="3" t="s">
        <v>1991</v>
      </c>
    </row>
    <row r="21" spans="1:2">
      <c r="A21" s="33">
        <v>45180</v>
      </c>
      <c r="B21" s="26" t="s">
        <v>2011</v>
      </c>
    </row>
    <row r="22" spans="1:2">
      <c r="A22" s="26" t="s">
        <v>2043</v>
      </c>
      <c r="B22" s="26" t="s">
        <v>2044</v>
      </c>
    </row>
    <row r="23" spans="1:2" ht="78">
      <c r="A23" s="26" t="s">
        <v>2043</v>
      </c>
      <c r="B23" s="3" t="s">
        <v>2048</v>
      </c>
    </row>
    <row r="24" spans="1:2" ht="62.4">
      <c r="A24" s="33">
        <v>45089</v>
      </c>
      <c r="B24" s="3" t="s">
        <v>2050</v>
      </c>
    </row>
    <row r="25" spans="1:2">
      <c r="A25" s="26"/>
      <c r="B25" s="26"/>
    </row>
    <row r="26" spans="1:2">
      <c r="A26" s="26"/>
      <c r="B26" s="26"/>
    </row>
    <row r="27" spans="1:2">
      <c r="A27" s="26"/>
      <c r="B27" s="26"/>
    </row>
    <row r="28" spans="1:2">
      <c r="A28" s="26"/>
      <c r="B28" s="26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35"/>
  <sheetViews>
    <sheetView topLeftCell="C204" zoomScale="98" zoomScaleNormal="98" workbookViewId="0">
      <selection activeCell="G117" sqref="G11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9</v>
      </c>
    </row>
    <row r="4" spans="1:8">
      <c r="A4" s="6" t="s">
        <v>10</v>
      </c>
      <c r="B4" s="7" t="s">
        <v>11</v>
      </c>
    </row>
    <row r="6" spans="1:8">
      <c r="A6" s="8" t="s">
        <v>12</v>
      </c>
      <c r="B6" s="9" t="s">
        <v>13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78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18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>
      <c r="A15" s="8" t="s">
        <v>21</v>
      </c>
      <c r="B15" s="13" t="s">
        <v>22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47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409.6">
      <c r="A41" s="8" t="s">
        <v>48</v>
      </c>
      <c r="B41" s="11" t="s">
        <v>49</v>
      </c>
      <c r="C41" s="13" t="s">
        <v>1766</v>
      </c>
      <c r="D41" s="13"/>
      <c r="E41" s="13"/>
      <c r="F41" s="13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4" t="s">
        <v>55</v>
      </c>
      <c r="C46" s="16">
        <v>43595</v>
      </c>
      <c r="D46" s="2"/>
      <c r="E46" s="10"/>
      <c r="F46" s="10"/>
      <c r="G46" s="10"/>
    </row>
    <row r="47" spans="1:8">
      <c r="A47" s="4" t="s">
        <v>56</v>
      </c>
      <c r="B47" s="4" t="s">
        <v>57</v>
      </c>
      <c r="C47" s="17">
        <v>0.48457175925925899</v>
      </c>
      <c r="D47" s="2"/>
      <c r="E47" s="10"/>
      <c r="F47" s="10"/>
      <c r="G47" s="10"/>
    </row>
    <row r="48" spans="1:8">
      <c r="A48" s="4" t="s">
        <v>58</v>
      </c>
      <c r="B48" s="4" t="s">
        <v>59</v>
      </c>
      <c r="C48" s="25" t="s">
        <v>1435</v>
      </c>
      <c r="D48" s="18" t="s">
        <v>67</v>
      </c>
      <c r="E48" s="10"/>
      <c r="F48" s="10"/>
      <c r="G48" s="10"/>
    </row>
    <row r="49" spans="1:7">
      <c r="A49" s="4" t="s">
        <v>60</v>
      </c>
      <c r="B49" s="4" t="s">
        <v>61</v>
      </c>
      <c r="C49" s="5" t="s">
        <v>62</v>
      </c>
      <c r="D49" s="18" t="s">
        <v>63</v>
      </c>
      <c r="E49" s="10"/>
      <c r="F49" s="10"/>
      <c r="G49" s="10"/>
    </row>
    <row r="50" spans="1:7">
      <c r="A50" s="4" t="s">
        <v>64</v>
      </c>
      <c r="B50" s="4" t="s">
        <v>65</v>
      </c>
      <c r="C50" s="5" t="s">
        <v>66</v>
      </c>
      <c r="D50" s="18"/>
      <c r="E50" s="10"/>
      <c r="F50" s="10"/>
      <c r="G50" s="10"/>
    </row>
    <row r="51" spans="1:7">
      <c r="A51" s="4" t="s">
        <v>68</v>
      </c>
      <c r="B51" s="4" t="s">
        <v>69</v>
      </c>
      <c r="C51" s="5" t="s">
        <v>70</v>
      </c>
      <c r="D51" s="19" t="s">
        <v>71</v>
      </c>
      <c r="E51" s="10"/>
      <c r="F51" s="10"/>
      <c r="G51" s="10"/>
    </row>
    <row r="52" spans="1:7">
      <c r="A52" s="4" t="s">
        <v>72</v>
      </c>
      <c r="B52" s="4" t="s">
        <v>73</v>
      </c>
      <c r="C52" s="5" t="s">
        <v>74</v>
      </c>
      <c r="D52" s="14"/>
      <c r="E52" s="10"/>
      <c r="F52" s="10"/>
      <c r="G52" s="10"/>
    </row>
    <row r="53" spans="1:7">
      <c r="A53" s="4" t="s">
        <v>75</v>
      </c>
      <c r="B53" s="4" t="s">
        <v>76</v>
      </c>
      <c r="C53" s="88">
        <v>1.55751346736991E+18</v>
      </c>
      <c r="D53" s="14"/>
      <c r="E53" s="10"/>
      <c r="F53" s="10"/>
      <c r="G53" s="10"/>
    </row>
    <row r="54" spans="1:7">
      <c r="A54" s="4" t="s">
        <v>77</v>
      </c>
      <c r="B54" s="4" t="s">
        <v>78</v>
      </c>
      <c r="C54" s="5" t="s">
        <v>79</v>
      </c>
      <c r="D54" s="1" t="s">
        <v>80</v>
      </c>
      <c r="E54" s="10"/>
      <c r="F54" s="10"/>
      <c r="G54" s="10"/>
    </row>
    <row r="55" spans="1:7">
      <c r="A55" s="4" t="s">
        <v>81</v>
      </c>
      <c r="B55" s="4" t="s">
        <v>82</v>
      </c>
      <c r="C55" s="5">
        <v>58012</v>
      </c>
      <c r="D55" s="1" t="s">
        <v>83</v>
      </c>
      <c r="E55" s="10"/>
      <c r="F55" s="10"/>
      <c r="G55" s="10"/>
    </row>
    <row r="56" spans="1:7">
      <c r="A56" s="4" t="s">
        <v>84</v>
      </c>
      <c r="B56" s="4" t="s">
        <v>85</v>
      </c>
      <c r="C56" s="5" t="s">
        <v>86</v>
      </c>
      <c r="D56" s="1" t="s">
        <v>87</v>
      </c>
      <c r="E56" s="10"/>
      <c r="F56" s="10"/>
      <c r="G56" s="10"/>
    </row>
    <row r="57" spans="1:7">
      <c r="A57" s="4" t="s">
        <v>88</v>
      </c>
      <c r="B57" s="4" t="s">
        <v>89</v>
      </c>
      <c r="C57" s="5" t="s">
        <v>90</v>
      </c>
      <c r="D57" s="1"/>
      <c r="E57" s="10"/>
      <c r="F57" s="10"/>
      <c r="G57" s="10"/>
    </row>
    <row r="58" spans="1:7">
      <c r="A58" s="4" t="s">
        <v>91</v>
      </c>
      <c r="B58" s="4" t="s">
        <v>92</v>
      </c>
      <c r="C58" s="5" t="s">
        <v>93</v>
      </c>
      <c r="D58" s="1" t="s">
        <v>94</v>
      </c>
      <c r="E58" s="10"/>
      <c r="F58" s="10"/>
      <c r="G58" s="10"/>
    </row>
    <row r="59" spans="1:7">
      <c r="A59" s="4" t="s">
        <v>95</v>
      </c>
      <c r="B59" s="4" t="s">
        <v>96</v>
      </c>
      <c r="C59" s="5">
        <v>80</v>
      </c>
      <c r="D59" s="1" t="s">
        <v>97</v>
      </c>
      <c r="E59" s="10"/>
      <c r="F59" s="10"/>
      <c r="G59" s="10"/>
    </row>
    <row r="60" spans="1:7">
      <c r="A60" s="4" t="s">
        <v>98</v>
      </c>
      <c r="B60" s="4" t="s">
        <v>99</v>
      </c>
      <c r="C60" s="5" t="s">
        <v>100</v>
      </c>
      <c r="D60" s="1" t="s">
        <v>101</v>
      </c>
      <c r="E60" s="10"/>
      <c r="F60" s="10"/>
      <c r="G60" s="10"/>
    </row>
    <row r="61" spans="1:7">
      <c r="A61" s="4" t="s">
        <v>102</v>
      </c>
      <c r="B61" s="4" t="s">
        <v>103</v>
      </c>
      <c r="C61" s="5" t="s">
        <v>90</v>
      </c>
      <c r="D61" s="1"/>
      <c r="E61" s="10"/>
      <c r="F61" s="10"/>
      <c r="G61" s="10"/>
    </row>
    <row r="62" spans="1:7">
      <c r="A62" s="4" t="s">
        <v>104</v>
      </c>
      <c r="B62" s="4" t="s">
        <v>105</v>
      </c>
      <c r="C62" s="5" t="s">
        <v>106</v>
      </c>
      <c r="D62" s="2"/>
      <c r="E62" s="10"/>
      <c r="F62" s="10"/>
      <c r="G62" s="10"/>
    </row>
    <row r="63" spans="1:7">
      <c r="A63" s="4" t="s">
        <v>107</v>
      </c>
      <c r="B63" s="4" t="s">
        <v>108</v>
      </c>
      <c r="C63" s="5" t="s">
        <v>109</v>
      </c>
      <c r="D63" s="2"/>
      <c r="E63" s="10"/>
      <c r="F63" s="10"/>
      <c r="G63" s="10"/>
    </row>
    <row r="64" spans="1:7">
      <c r="A64" s="4" t="s">
        <v>110</v>
      </c>
      <c r="B64" s="4" t="s">
        <v>111</v>
      </c>
      <c r="C64" s="5" t="s">
        <v>112</v>
      </c>
      <c r="D64" s="2"/>
      <c r="E64" s="10"/>
      <c r="F64" s="10"/>
      <c r="G64" s="10"/>
    </row>
    <row r="65" spans="1:7">
      <c r="A65" s="4" t="s">
        <v>113</v>
      </c>
      <c r="B65" s="4" t="s">
        <v>114</v>
      </c>
      <c r="C65" s="5">
        <v>105048</v>
      </c>
      <c r="D65" s="1" t="s">
        <v>115</v>
      </c>
      <c r="E65" s="10"/>
      <c r="F65" s="10"/>
      <c r="G65" s="10"/>
    </row>
    <row r="66" spans="1:7">
      <c r="A66" s="4" t="s">
        <v>116</v>
      </c>
      <c r="B66" s="4" t="s">
        <v>117</v>
      </c>
      <c r="C66" s="5">
        <v>6</v>
      </c>
      <c r="D66" s="1" t="s">
        <v>118</v>
      </c>
      <c r="E66" s="10"/>
      <c r="F66" s="10"/>
      <c r="G66" s="10"/>
    </row>
    <row r="67" spans="1:7" ht="31.2">
      <c r="A67" s="4" t="s">
        <v>119</v>
      </c>
      <c r="B67" s="4" t="s">
        <v>120</v>
      </c>
      <c r="C67" s="5" t="s">
        <v>121</v>
      </c>
      <c r="D67" s="1" t="s">
        <v>477</v>
      </c>
      <c r="E67" s="10"/>
      <c r="F67" s="10"/>
      <c r="G67" s="10"/>
    </row>
    <row r="68" spans="1:7">
      <c r="A68" s="4" t="s">
        <v>123</v>
      </c>
      <c r="B68" s="4" t="s">
        <v>124</v>
      </c>
      <c r="C68" s="5">
        <v>1</v>
      </c>
      <c r="D68" s="1"/>
      <c r="E68" s="10"/>
      <c r="F68" s="10"/>
      <c r="G68" s="10"/>
    </row>
    <row r="69" spans="1:7">
      <c r="A69" s="4" t="s">
        <v>125</v>
      </c>
      <c r="B69" s="4" t="s">
        <v>126</v>
      </c>
      <c r="C69" s="5" t="s">
        <v>127</v>
      </c>
      <c r="D69" s="1" t="s">
        <v>128</v>
      </c>
      <c r="E69" s="10"/>
      <c r="F69" s="10"/>
      <c r="G69" s="10"/>
    </row>
    <row r="70" spans="1:7">
      <c r="A70" s="4" t="s">
        <v>129</v>
      </c>
      <c r="B70" s="4" t="s">
        <v>130</v>
      </c>
      <c r="C70" s="5" t="s">
        <v>131</v>
      </c>
      <c r="D70" s="1" t="s">
        <v>132</v>
      </c>
      <c r="E70" s="10"/>
      <c r="F70" s="10"/>
      <c r="G70" s="10"/>
    </row>
    <row r="71" spans="1:7">
      <c r="A71" s="4" t="s">
        <v>133</v>
      </c>
      <c r="B71" s="4" t="s">
        <v>134</v>
      </c>
      <c r="C71" s="5" t="s">
        <v>135</v>
      </c>
      <c r="D71" s="2"/>
      <c r="E71" s="10"/>
      <c r="F71" s="10"/>
      <c r="G71" s="10"/>
    </row>
    <row r="72" spans="1:7">
      <c r="A72" s="4" t="s">
        <v>136</v>
      </c>
      <c r="B72" s="4" t="s">
        <v>137</v>
      </c>
      <c r="C72" s="5" t="s">
        <v>138</v>
      </c>
      <c r="D72" s="2"/>
      <c r="E72" s="10"/>
      <c r="F72" s="10"/>
      <c r="G72" s="10"/>
    </row>
    <row r="73" spans="1:7">
      <c r="A73" s="4" t="s">
        <v>139</v>
      </c>
      <c r="B73" s="4" t="s">
        <v>140</v>
      </c>
      <c r="C73" s="5" t="s">
        <v>141</v>
      </c>
      <c r="D73" s="2"/>
      <c r="E73" s="10"/>
      <c r="F73" s="10"/>
      <c r="G73" s="10"/>
    </row>
    <row r="74" spans="1:7">
      <c r="A74" s="4" t="s">
        <v>142</v>
      </c>
      <c r="B74" s="4" t="s">
        <v>143</v>
      </c>
      <c r="C74" s="5" t="s">
        <v>144</v>
      </c>
      <c r="D74" s="1" t="s">
        <v>145</v>
      </c>
      <c r="E74" s="10"/>
      <c r="F74" s="10"/>
      <c r="G74" s="10"/>
    </row>
    <row r="75" spans="1:7">
      <c r="A75" s="4" t="s">
        <v>146</v>
      </c>
      <c r="B75" s="4" t="s">
        <v>147</v>
      </c>
      <c r="C75" s="5">
        <v>58012</v>
      </c>
      <c r="D75" s="1" t="s">
        <v>1101</v>
      </c>
      <c r="E75" s="10"/>
      <c r="F75" s="10"/>
      <c r="G75" s="10"/>
    </row>
    <row r="76" spans="1:7">
      <c r="A76" s="4" t="s">
        <v>148</v>
      </c>
      <c r="B76" s="4" t="s">
        <v>149</v>
      </c>
      <c r="C76" s="5">
        <v>34050</v>
      </c>
      <c r="D76" s="1" t="s">
        <v>302</v>
      </c>
      <c r="E76" s="10"/>
      <c r="F76" s="10"/>
      <c r="G76" s="10"/>
    </row>
    <row r="77" spans="1:7">
      <c r="A77" s="4" t="s">
        <v>150</v>
      </c>
      <c r="B77" s="4" t="s">
        <v>151</v>
      </c>
      <c r="C77" s="5" t="s">
        <v>152</v>
      </c>
      <c r="D77" s="1" t="s">
        <v>496</v>
      </c>
      <c r="E77" s="10"/>
      <c r="F77" s="10"/>
      <c r="G77" s="10"/>
    </row>
    <row r="78" spans="1:7">
      <c r="A78" s="4" t="s">
        <v>153</v>
      </c>
      <c r="B78" s="4" t="s">
        <v>154</v>
      </c>
      <c r="C78" s="5" t="s">
        <v>155</v>
      </c>
      <c r="D78" s="1" t="s">
        <v>298</v>
      </c>
      <c r="E78" s="10"/>
      <c r="F78" s="10"/>
      <c r="G78" s="10"/>
    </row>
    <row r="79" spans="1:7">
      <c r="A79" s="4" t="s">
        <v>156</v>
      </c>
      <c r="B79" s="4" t="s">
        <v>157</v>
      </c>
      <c r="C79" s="5" t="s">
        <v>158</v>
      </c>
      <c r="D79" s="1" t="s">
        <v>804</v>
      </c>
      <c r="E79" s="10"/>
      <c r="F79" s="10"/>
      <c r="G79" s="10"/>
    </row>
    <row r="80" spans="1:7">
      <c r="A80" s="4" t="s">
        <v>159</v>
      </c>
      <c r="B80" s="4" t="s">
        <v>160</v>
      </c>
      <c r="C80" s="5" t="s">
        <v>161</v>
      </c>
      <c r="D80" s="1"/>
      <c r="E80" s="10"/>
      <c r="F80" s="10"/>
      <c r="G80" s="10"/>
    </row>
    <row r="81" spans="1:7">
      <c r="A81" s="4" t="s">
        <v>162</v>
      </c>
      <c r="B81" s="4" t="s">
        <v>163</v>
      </c>
      <c r="C81" s="5">
        <v>116</v>
      </c>
      <c r="D81" s="2"/>
      <c r="E81" s="10"/>
      <c r="F81" s="10"/>
      <c r="G81" s="10"/>
    </row>
    <row r="82" spans="1:7">
      <c r="A82" s="4" t="s">
        <v>164</v>
      </c>
      <c r="B82" s="4" t="s">
        <v>165</v>
      </c>
      <c r="C82" s="5">
        <v>1188</v>
      </c>
      <c r="D82" s="19" t="s">
        <v>166</v>
      </c>
      <c r="E82" s="10"/>
      <c r="F82" s="10"/>
      <c r="G82" s="10"/>
    </row>
    <row r="83" spans="1:7">
      <c r="A83" s="4" t="s">
        <v>167</v>
      </c>
      <c r="B83" s="4" t="s">
        <v>168</v>
      </c>
      <c r="C83" s="5">
        <v>1224</v>
      </c>
      <c r="D83" s="19" t="s">
        <v>169</v>
      </c>
      <c r="E83" s="10"/>
      <c r="F83" s="10"/>
      <c r="G83" s="10"/>
    </row>
    <row r="84" spans="1:7">
      <c r="A84" s="4" t="s">
        <v>170</v>
      </c>
      <c r="B84" s="4" t="s">
        <v>171</v>
      </c>
      <c r="C84" s="5">
        <v>17</v>
      </c>
      <c r="D84" s="19" t="s">
        <v>172</v>
      </c>
      <c r="E84" s="10"/>
      <c r="F84" s="10"/>
      <c r="G84" s="10"/>
    </row>
    <row r="85" spans="1:7">
      <c r="A85" s="4" t="s">
        <v>173</v>
      </c>
      <c r="B85" s="4" t="s">
        <v>174</v>
      </c>
      <c r="C85" s="5">
        <v>16</v>
      </c>
      <c r="D85" s="19" t="s">
        <v>175</v>
      </c>
      <c r="E85" s="10"/>
      <c r="F85" s="10"/>
      <c r="G85" s="10"/>
    </row>
    <row r="86" spans="1:7" ht="31.2">
      <c r="A86" s="4" t="s">
        <v>176</v>
      </c>
      <c r="B86" s="4" t="s">
        <v>177</v>
      </c>
      <c r="C86" s="5" t="s">
        <v>178</v>
      </c>
      <c r="D86" s="1" t="s">
        <v>1431</v>
      </c>
      <c r="E86" s="10"/>
      <c r="F86" s="10"/>
      <c r="G86" s="10"/>
    </row>
    <row r="87" spans="1:7">
      <c r="A87" s="4" t="s">
        <v>179</v>
      </c>
      <c r="B87" s="4" t="s">
        <v>180</v>
      </c>
      <c r="C87" s="5">
        <v>1</v>
      </c>
      <c r="D87" s="1" t="s">
        <v>181</v>
      </c>
      <c r="E87" s="10"/>
      <c r="F87" s="10"/>
      <c r="G87" s="10"/>
    </row>
    <row r="88" spans="1:7">
      <c r="A88" s="4" t="s">
        <v>182</v>
      </c>
      <c r="B88" s="4" t="s">
        <v>183</v>
      </c>
      <c r="C88" s="5" t="s">
        <v>184</v>
      </c>
      <c r="D88" s="2"/>
      <c r="E88" s="10"/>
      <c r="F88" s="10"/>
      <c r="G88" s="10"/>
    </row>
    <row r="89" spans="1:7">
      <c r="A89" s="4" t="s">
        <v>185</v>
      </c>
      <c r="B89" s="4" t="s">
        <v>186</v>
      </c>
      <c r="C89" s="5" t="s">
        <v>187</v>
      </c>
      <c r="D89" s="2"/>
      <c r="E89" s="10"/>
      <c r="F89" s="10"/>
      <c r="G89" s="10"/>
    </row>
    <row r="90" spans="1:7">
      <c r="A90" s="4" t="s">
        <v>188</v>
      </c>
      <c r="B90" s="4" t="s">
        <v>189</v>
      </c>
      <c r="C90" s="5" t="s">
        <v>187</v>
      </c>
      <c r="D90" s="1" t="s">
        <v>190</v>
      </c>
      <c r="E90" s="10"/>
      <c r="F90" s="10"/>
      <c r="G90" s="10"/>
    </row>
    <row r="91" spans="1:7">
      <c r="A91" s="4" t="s">
        <v>191</v>
      </c>
      <c r="B91" s="4" t="s">
        <v>192</v>
      </c>
      <c r="C91" s="5">
        <v>0</v>
      </c>
      <c r="D91" s="2"/>
      <c r="E91" s="10"/>
      <c r="F91" s="10"/>
      <c r="G91" s="10"/>
    </row>
    <row r="92" spans="1:7">
      <c r="A92" s="4" t="s">
        <v>193</v>
      </c>
      <c r="B92" s="4" t="s">
        <v>194</v>
      </c>
      <c r="C92" s="5" t="s">
        <v>195</v>
      </c>
      <c r="D92" s="2"/>
      <c r="E92" s="10"/>
      <c r="F92" s="10"/>
      <c r="G92" s="10"/>
    </row>
    <row r="93" spans="1:7">
      <c r="A93" s="4" t="s">
        <v>1768</v>
      </c>
      <c r="B93" s="7" t="s">
        <v>1776</v>
      </c>
      <c r="C93" s="5"/>
      <c r="D93" s="14"/>
      <c r="E93" s="10"/>
      <c r="F93" s="10"/>
      <c r="G93" s="10"/>
    </row>
    <row r="94" spans="1:7">
      <c r="A94" s="4" t="s">
        <v>1769</v>
      </c>
      <c r="B94" s="4" t="s">
        <v>1783</v>
      </c>
      <c r="C94" s="5"/>
      <c r="D94" s="14"/>
      <c r="E94" s="10"/>
      <c r="F94" s="10"/>
      <c r="G94" s="10"/>
    </row>
    <row r="95" spans="1:7">
      <c r="A95" s="4" t="s">
        <v>274</v>
      </c>
      <c r="B95" s="26" t="s">
        <v>1777</v>
      </c>
      <c r="C95" s="5"/>
      <c r="D95" s="14"/>
      <c r="E95" s="10"/>
      <c r="F95" s="10"/>
      <c r="G95" s="10"/>
    </row>
    <row r="96" spans="1:7">
      <c r="A96" s="4" t="s">
        <v>276</v>
      </c>
      <c r="B96" s="26" t="s">
        <v>1778</v>
      </c>
      <c r="C96" s="5"/>
      <c r="D96" s="14"/>
      <c r="E96" s="10"/>
      <c r="F96" s="10"/>
      <c r="G96" s="10"/>
    </row>
    <row r="97" spans="1:8">
      <c r="A97" s="4" t="s">
        <v>1770</v>
      </c>
      <c r="B97" s="26"/>
      <c r="C97" s="5"/>
      <c r="D97" s="14"/>
      <c r="E97" s="10"/>
      <c r="F97" s="10"/>
      <c r="G97" s="10"/>
    </row>
    <row r="98" spans="1:8">
      <c r="A98" s="4" t="s">
        <v>1771</v>
      </c>
      <c r="B98" s="26" t="s">
        <v>1782</v>
      </c>
      <c r="C98" s="5"/>
      <c r="D98" s="14"/>
      <c r="E98" s="10"/>
      <c r="F98" s="10"/>
      <c r="G98" s="10"/>
    </row>
    <row r="99" spans="1:8">
      <c r="A99" s="4" t="s">
        <v>1772</v>
      </c>
      <c r="B99" s="4"/>
      <c r="C99" s="5"/>
      <c r="D99" s="14"/>
      <c r="E99" s="10"/>
      <c r="F99" s="10"/>
      <c r="G99" s="10"/>
    </row>
    <row r="100" spans="1:8">
      <c r="A100" s="4" t="s">
        <v>1773</v>
      </c>
      <c r="B100" s="4"/>
      <c r="C100" s="5"/>
      <c r="D100" s="14"/>
      <c r="E100" s="10"/>
      <c r="F100" s="10"/>
      <c r="G100" s="10"/>
    </row>
    <row r="101" spans="1:8">
      <c r="A101" s="4" t="s">
        <v>1774</v>
      </c>
      <c r="B101" s="4"/>
      <c r="C101" s="5"/>
      <c r="D101" s="14"/>
      <c r="E101" s="10"/>
      <c r="F101" s="10"/>
      <c r="G101" s="10"/>
    </row>
    <row r="102" spans="1:8">
      <c r="A102" s="4" t="s">
        <v>1765</v>
      </c>
      <c r="B102" s="26" t="s">
        <v>1767</v>
      </c>
      <c r="C102" s="5"/>
      <c r="D102" s="1" t="s">
        <v>356</v>
      </c>
      <c r="E102" s="10"/>
      <c r="F102" s="10"/>
      <c r="G102" s="10"/>
    </row>
    <row r="103" spans="1:8" ht="31.2">
      <c r="A103" s="4" t="s">
        <v>1775</v>
      </c>
      <c r="B103" s="3" t="s">
        <v>1779</v>
      </c>
      <c r="C103" s="5"/>
      <c r="D103" s="14"/>
      <c r="E103" s="10"/>
      <c r="F103" s="10"/>
      <c r="G103" s="10"/>
    </row>
    <row r="104" spans="1:8">
      <c r="A104" s="13"/>
      <c r="B104" s="13"/>
      <c r="C104" s="89"/>
      <c r="D104" s="87"/>
      <c r="E104" s="10"/>
      <c r="F104" s="10"/>
      <c r="G104" s="10"/>
      <c r="H104" s="10"/>
    </row>
    <row r="105" spans="1:8">
      <c r="A105" s="13"/>
      <c r="B105" s="10"/>
      <c r="C105" s="10"/>
      <c r="D105" s="10"/>
      <c r="E105" s="10"/>
      <c r="F105" s="10"/>
      <c r="G105" s="10"/>
      <c r="H105" s="10"/>
    </row>
    <row r="106" spans="1:8">
      <c r="A106" s="113" t="s">
        <v>196</v>
      </c>
      <c r="B106" s="113"/>
      <c r="C106" s="113"/>
      <c r="D106" s="113"/>
      <c r="E106" s="113"/>
      <c r="F106" s="113"/>
      <c r="G106" s="113"/>
      <c r="H106" s="113"/>
    </row>
    <row r="107" spans="1:8">
      <c r="A107" s="81" t="s">
        <v>1432</v>
      </c>
      <c r="B107" s="14" t="s">
        <v>197</v>
      </c>
      <c r="C107" s="14" t="s">
        <v>198</v>
      </c>
      <c r="D107" s="14" t="s">
        <v>199</v>
      </c>
      <c r="E107" s="14" t="s">
        <v>200</v>
      </c>
      <c r="F107" s="14" t="s">
        <v>202</v>
      </c>
      <c r="G107" s="14" t="s">
        <v>21</v>
      </c>
      <c r="H107" s="14" t="s">
        <v>203</v>
      </c>
    </row>
    <row r="108" spans="1:8" ht="31.2">
      <c r="A108" s="90">
        <v>20</v>
      </c>
      <c r="B108" s="14"/>
      <c r="C108" s="14"/>
      <c r="D108" s="14"/>
      <c r="E108" s="14"/>
      <c r="F108" s="4" t="s">
        <v>1478</v>
      </c>
      <c r="G108" s="3" t="s">
        <v>207</v>
      </c>
      <c r="H108" s="14"/>
    </row>
    <row r="109" spans="1:8" ht="31.2">
      <c r="A109" s="90">
        <v>20</v>
      </c>
      <c r="B109" s="65" t="s">
        <v>1477</v>
      </c>
      <c r="C109" s="26"/>
      <c r="D109" s="26"/>
      <c r="E109" s="26"/>
      <c r="F109" s="3" t="s">
        <v>1479</v>
      </c>
      <c r="G109" s="3" t="s">
        <v>1788</v>
      </c>
      <c r="H109" s="26"/>
    </row>
    <row r="110" spans="1:8">
      <c r="A110" s="90">
        <v>20</v>
      </c>
      <c r="B110" s="65" t="s">
        <v>1154</v>
      </c>
      <c r="C110" s="26"/>
      <c r="D110" s="26"/>
      <c r="E110" s="26"/>
      <c r="F110" s="3" t="s">
        <v>1480</v>
      </c>
      <c r="G110" s="3" t="s">
        <v>1481</v>
      </c>
      <c r="H110" s="26"/>
    </row>
    <row r="111" spans="1:8" ht="31.2">
      <c r="A111" s="90">
        <v>20</v>
      </c>
      <c r="B111" s="65" t="s">
        <v>1109</v>
      </c>
      <c r="C111" s="26"/>
      <c r="D111" s="26"/>
      <c r="E111" s="26"/>
      <c r="F111" s="3" t="s">
        <v>1488</v>
      </c>
      <c r="G111" s="3" t="s">
        <v>2047</v>
      </c>
      <c r="H111" s="26"/>
    </row>
    <row r="112" spans="1:8" ht="31.2">
      <c r="A112" s="90">
        <v>20</v>
      </c>
      <c r="B112" s="65" t="s">
        <v>1158</v>
      </c>
      <c r="C112" s="26"/>
      <c r="D112" s="26"/>
      <c r="E112" s="26"/>
      <c r="F112" s="3" t="s">
        <v>1483</v>
      </c>
      <c r="G112" s="3" t="s">
        <v>1484</v>
      </c>
      <c r="H112" s="26"/>
    </row>
    <row r="113" spans="1:8" ht="31.2">
      <c r="A113" s="90">
        <v>20</v>
      </c>
      <c r="B113" s="65" t="s">
        <v>121</v>
      </c>
      <c r="C113" s="26"/>
      <c r="D113" s="26"/>
      <c r="E113" s="26"/>
      <c r="F113" s="3" t="s">
        <v>1485</v>
      </c>
      <c r="G113" s="3" t="s">
        <v>2047</v>
      </c>
      <c r="H113" s="26"/>
    </row>
    <row r="114" spans="1:8" ht="31.2">
      <c r="A114" s="90">
        <v>20</v>
      </c>
      <c r="B114" s="65"/>
      <c r="C114" s="53" t="s">
        <v>1030</v>
      </c>
      <c r="D114" s="26"/>
      <c r="E114" s="26"/>
      <c r="F114" s="3" t="s">
        <v>1486</v>
      </c>
      <c r="G114" s="3" t="s">
        <v>1788</v>
      </c>
      <c r="H114" s="26"/>
    </row>
    <row r="115" spans="1:8" ht="31.2">
      <c r="A115" s="90">
        <v>20</v>
      </c>
      <c r="B115" s="65"/>
      <c r="C115" s="53" t="s">
        <v>1155</v>
      </c>
      <c r="D115" s="26"/>
      <c r="E115" s="26"/>
      <c r="F115" s="3" t="s">
        <v>1487</v>
      </c>
      <c r="G115" s="3" t="s">
        <v>1156</v>
      </c>
      <c r="H115" s="26"/>
    </row>
    <row r="116" spans="1:8" ht="31.2">
      <c r="A116" s="90">
        <v>20</v>
      </c>
      <c r="B116" s="65"/>
      <c r="C116" s="53" t="s">
        <v>178</v>
      </c>
      <c r="D116" s="26"/>
      <c r="E116" s="26"/>
      <c r="F116" s="3" t="s">
        <v>1482</v>
      </c>
      <c r="G116" s="3" t="s">
        <v>2047</v>
      </c>
      <c r="H116" s="26"/>
    </row>
    <row r="117" spans="1:8">
      <c r="A117" s="90">
        <v>13</v>
      </c>
      <c r="B117" s="14"/>
      <c r="C117" s="14"/>
      <c r="D117" s="26"/>
      <c r="E117" s="26"/>
      <c r="F117" s="26" t="s">
        <v>1489</v>
      </c>
      <c r="G117" s="3" t="s">
        <v>2049</v>
      </c>
      <c r="H117" s="26"/>
    </row>
    <row r="118" spans="1:8" ht="31.2">
      <c r="A118" s="90">
        <v>13</v>
      </c>
      <c r="B118" s="65" t="s">
        <v>1477</v>
      </c>
      <c r="C118" s="26"/>
      <c r="D118" s="26"/>
      <c r="E118" s="26"/>
      <c r="F118" s="3" t="s">
        <v>1490</v>
      </c>
      <c r="G118" s="3" t="s">
        <v>1788</v>
      </c>
      <c r="H118" s="26"/>
    </row>
    <row r="119" spans="1:8">
      <c r="A119" s="90">
        <v>13</v>
      </c>
      <c r="B119" s="65" t="s">
        <v>1154</v>
      </c>
      <c r="C119" s="26"/>
      <c r="D119" s="26"/>
      <c r="E119" s="26"/>
      <c r="F119" s="3" t="s">
        <v>1491</v>
      </c>
      <c r="G119" s="3" t="s">
        <v>1481</v>
      </c>
      <c r="H119" s="26"/>
    </row>
    <row r="120" spans="1:8" ht="31.2">
      <c r="A120" s="90">
        <v>13</v>
      </c>
      <c r="B120" s="65" t="s">
        <v>1109</v>
      </c>
      <c r="C120" s="26"/>
      <c r="D120" s="26"/>
      <c r="E120" s="26"/>
      <c r="F120" s="3" t="s">
        <v>1492</v>
      </c>
      <c r="G120" s="3" t="s">
        <v>2047</v>
      </c>
      <c r="H120" s="26"/>
    </row>
    <row r="121" spans="1:8" ht="31.2">
      <c r="A121" s="90">
        <v>13</v>
      </c>
      <c r="B121" s="65" t="s">
        <v>1158</v>
      </c>
      <c r="C121" s="26"/>
      <c r="D121" s="26"/>
      <c r="E121" s="26"/>
      <c r="F121" s="3" t="s">
        <v>1493</v>
      </c>
      <c r="G121" s="3" t="s">
        <v>1484</v>
      </c>
      <c r="H121" s="26"/>
    </row>
    <row r="122" spans="1:8" ht="31.2">
      <c r="A122" s="90">
        <v>13</v>
      </c>
      <c r="B122" s="65" t="s">
        <v>121</v>
      </c>
      <c r="C122" s="26"/>
      <c r="D122" s="26"/>
      <c r="E122" s="26"/>
      <c r="F122" s="3" t="s">
        <v>1494</v>
      </c>
      <c r="G122" s="3" t="s">
        <v>2047</v>
      </c>
      <c r="H122" s="26"/>
    </row>
    <row r="123" spans="1:8" ht="31.2">
      <c r="A123" s="90">
        <v>13</v>
      </c>
      <c r="B123" s="65"/>
      <c r="C123" s="53" t="s">
        <v>1030</v>
      </c>
      <c r="D123" s="26"/>
      <c r="E123" s="26"/>
      <c r="F123" s="3" t="s">
        <v>1495</v>
      </c>
      <c r="G123" s="3" t="s">
        <v>1788</v>
      </c>
      <c r="H123" s="26"/>
    </row>
    <row r="124" spans="1:8" ht="31.2">
      <c r="A124" s="90">
        <v>13</v>
      </c>
      <c r="B124" s="65"/>
      <c r="C124" s="53" t="s">
        <v>1155</v>
      </c>
      <c r="D124" s="26"/>
      <c r="E124" s="26"/>
      <c r="F124" s="3" t="s">
        <v>1496</v>
      </c>
      <c r="G124" s="3" t="s">
        <v>1156</v>
      </c>
      <c r="H124" s="26"/>
    </row>
    <row r="125" spans="1:8" ht="31.2">
      <c r="A125" s="90">
        <v>13</v>
      </c>
      <c r="B125" s="65"/>
      <c r="C125" s="53" t="s">
        <v>178</v>
      </c>
      <c r="D125" s="26"/>
      <c r="E125" s="26"/>
      <c r="F125" s="3" t="s">
        <v>1497</v>
      </c>
      <c r="G125" s="3" t="s">
        <v>2047</v>
      </c>
      <c r="H125" s="26"/>
    </row>
    <row r="126" spans="1:8" ht="31.2">
      <c r="A126" s="90">
        <v>13</v>
      </c>
      <c r="B126" s="65"/>
      <c r="C126" s="53"/>
      <c r="D126" s="26"/>
      <c r="E126" s="26"/>
      <c r="F126" s="3" t="s">
        <v>1789</v>
      </c>
      <c r="G126" s="3" t="s">
        <v>1156</v>
      </c>
      <c r="H126" s="26"/>
    </row>
    <row r="127" spans="1:8" ht="31.2">
      <c r="A127" s="90">
        <v>13</v>
      </c>
      <c r="B127" s="65"/>
      <c r="C127" s="53"/>
      <c r="D127" s="26"/>
      <c r="E127" s="26"/>
      <c r="F127" s="3" t="s">
        <v>1790</v>
      </c>
      <c r="G127" s="3" t="s">
        <v>1156</v>
      </c>
      <c r="H127" s="26"/>
    </row>
    <row r="128" spans="1:8" ht="31.2">
      <c r="A128" s="90">
        <v>15</v>
      </c>
      <c r="B128" s="14"/>
      <c r="C128" s="14"/>
      <c r="D128" s="26"/>
      <c r="E128" s="26"/>
      <c r="F128" s="26" t="s">
        <v>1498</v>
      </c>
      <c r="G128" s="3" t="s">
        <v>1484</v>
      </c>
      <c r="H128" s="26"/>
    </row>
    <row r="129" spans="1:8" ht="31.2">
      <c r="A129" s="90">
        <v>15</v>
      </c>
      <c r="B129" s="65" t="s">
        <v>1477</v>
      </c>
      <c r="C129" s="26"/>
      <c r="D129" s="26"/>
      <c r="E129" s="26"/>
      <c r="F129" s="3" t="s">
        <v>1499</v>
      </c>
      <c r="G129" s="3" t="s">
        <v>1788</v>
      </c>
      <c r="H129" s="26"/>
    </row>
    <row r="130" spans="1:8">
      <c r="A130" s="90">
        <v>15</v>
      </c>
      <c r="B130" s="65" t="s">
        <v>1154</v>
      </c>
      <c r="C130" s="26"/>
      <c r="D130" s="26"/>
      <c r="E130" s="26"/>
      <c r="F130" s="3" t="s">
        <v>1500</v>
      </c>
      <c r="G130" s="3" t="s">
        <v>1481</v>
      </c>
      <c r="H130" s="26"/>
    </row>
    <row r="131" spans="1:8" ht="31.2">
      <c r="A131" s="90">
        <v>15</v>
      </c>
      <c r="B131" s="65" t="s">
        <v>1109</v>
      </c>
      <c r="C131" s="26"/>
      <c r="D131" s="26"/>
      <c r="E131" s="26"/>
      <c r="F131" s="3" t="s">
        <v>1501</v>
      </c>
      <c r="G131" s="3" t="s">
        <v>2047</v>
      </c>
      <c r="H131" s="26"/>
    </row>
    <row r="132" spans="1:8" ht="31.2">
      <c r="A132" s="90">
        <v>15</v>
      </c>
      <c r="B132" s="65" t="s">
        <v>1158</v>
      </c>
      <c r="C132" s="26"/>
      <c r="D132" s="26"/>
      <c r="E132" s="26"/>
      <c r="F132" s="3" t="s">
        <v>1502</v>
      </c>
      <c r="G132" s="3" t="s">
        <v>1484</v>
      </c>
      <c r="H132" s="26"/>
    </row>
    <row r="133" spans="1:8" ht="31.2">
      <c r="A133" s="90">
        <v>15</v>
      </c>
      <c r="B133" s="65" t="s">
        <v>121</v>
      </c>
      <c r="C133" s="26"/>
      <c r="D133" s="26"/>
      <c r="E133" s="26"/>
      <c r="F133" s="3" t="s">
        <v>1503</v>
      </c>
      <c r="G133" s="3" t="s">
        <v>2047</v>
      </c>
      <c r="H133" s="26"/>
    </row>
    <row r="134" spans="1:8" ht="31.2">
      <c r="A134" s="90">
        <v>15</v>
      </c>
      <c r="B134" s="65"/>
      <c r="C134" s="53" t="s">
        <v>1030</v>
      </c>
      <c r="D134" s="26"/>
      <c r="E134" s="26"/>
      <c r="F134" s="3" t="s">
        <v>1504</v>
      </c>
      <c r="G134" s="3" t="s">
        <v>1788</v>
      </c>
      <c r="H134" s="26"/>
    </row>
    <row r="135" spans="1:8" ht="31.2">
      <c r="A135" s="90">
        <v>15</v>
      </c>
      <c r="B135" s="65"/>
      <c r="C135" s="53" t="s">
        <v>1155</v>
      </c>
      <c r="D135" s="26"/>
      <c r="E135" s="26"/>
      <c r="F135" s="3" t="s">
        <v>1505</v>
      </c>
      <c r="G135" s="3" t="s">
        <v>1156</v>
      </c>
      <c r="H135" s="26"/>
    </row>
    <row r="136" spans="1:8" ht="31.2">
      <c r="A136" s="90">
        <v>15</v>
      </c>
      <c r="B136" s="65"/>
      <c r="C136" s="53" t="s">
        <v>178</v>
      </c>
      <c r="D136" s="26"/>
      <c r="E136" s="26"/>
      <c r="F136" s="3" t="s">
        <v>1506</v>
      </c>
      <c r="G136" s="3" t="s">
        <v>2047</v>
      </c>
      <c r="H136" s="26"/>
    </row>
    <row r="137" spans="1:8" ht="31.2">
      <c r="A137" s="90">
        <v>2</v>
      </c>
      <c r="B137" s="14"/>
      <c r="C137" s="14"/>
      <c r="D137" s="26"/>
      <c r="E137" s="26"/>
      <c r="F137" s="26" t="s">
        <v>1507</v>
      </c>
      <c r="G137" s="3" t="s">
        <v>2047</v>
      </c>
      <c r="H137" s="26"/>
    </row>
    <row r="138" spans="1:8" ht="31.2">
      <c r="A138" s="90">
        <v>2</v>
      </c>
      <c r="B138" s="65" t="s">
        <v>1477</v>
      </c>
      <c r="C138" s="26"/>
      <c r="D138" s="26"/>
      <c r="E138" s="26"/>
      <c r="F138" s="26" t="s">
        <v>1508</v>
      </c>
      <c r="G138" s="3" t="s">
        <v>1788</v>
      </c>
      <c r="H138" s="26"/>
    </row>
    <row r="139" spans="1:8">
      <c r="A139" s="90">
        <v>2</v>
      </c>
      <c r="B139" s="65" t="s">
        <v>1154</v>
      </c>
      <c r="C139" s="26"/>
      <c r="D139" s="26"/>
      <c r="E139" s="26"/>
      <c r="F139" s="26" t="s">
        <v>1509</v>
      </c>
      <c r="G139" s="3" t="s">
        <v>1481</v>
      </c>
      <c r="H139" s="26"/>
    </row>
    <row r="140" spans="1:8" ht="31.2">
      <c r="A140" s="90">
        <v>2</v>
      </c>
      <c r="B140" s="65" t="s">
        <v>1109</v>
      </c>
      <c r="C140" s="26"/>
      <c r="D140" s="26"/>
      <c r="E140" s="26"/>
      <c r="F140" s="26" t="s">
        <v>1510</v>
      </c>
      <c r="G140" s="3" t="s">
        <v>2047</v>
      </c>
      <c r="H140" s="26"/>
    </row>
    <row r="141" spans="1:8" ht="31.2">
      <c r="A141" s="90">
        <v>2</v>
      </c>
      <c r="B141" s="65" t="s">
        <v>1158</v>
      </c>
      <c r="C141" s="26"/>
      <c r="D141" s="26"/>
      <c r="E141" s="26"/>
      <c r="F141" s="26" t="s">
        <v>1511</v>
      </c>
      <c r="G141" s="3" t="s">
        <v>1484</v>
      </c>
      <c r="H141" s="26"/>
    </row>
    <row r="142" spans="1:8" ht="31.2">
      <c r="A142" s="90">
        <v>2</v>
      </c>
      <c r="B142" s="65" t="s">
        <v>121</v>
      </c>
      <c r="C142" s="26"/>
      <c r="D142" s="26"/>
      <c r="E142" s="26"/>
      <c r="F142" s="26" t="s">
        <v>1512</v>
      </c>
      <c r="G142" s="3" t="s">
        <v>2047</v>
      </c>
      <c r="H142" s="26"/>
    </row>
    <row r="143" spans="1:8" ht="31.2">
      <c r="A143" s="90">
        <v>2</v>
      </c>
      <c r="B143" s="65"/>
      <c r="C143" s="53" t="s">
        <v>1030</v>
      </c>
      <c r="D143" s="26"/>
      <c r="E143" s="26"/>
      <c r="F143" s="26" t="s">
        <v>1513</v>
      </c>
      <c r="G143" s="3" t="s">
        <v>1788</v>
      </c>
      <c r="H143" s="26"/>
    </row>
    <row r="144" spans="1:8" ht="31.2">
      <c r="A144" s="90">
        <v>2</v>
      </c>
      <c r="B144" s="65"/>
      <c r="C144" s="53" t="s">
        <v>1155</v>
      </c>
      <c r="D144" s="26"/>
      <c r="E144" s="26"/>
      <c r="F144" s="26" t="s">
        <v>1514</v>
      </c>
      <c r="G144" s="3" t="s">
        <v>1156</v>
      </c>
      <c r="H144" s="26"/>
    </row>
    <row r="145" spans="1:8" ht="31.2">
      <c r="A145" s="90">
        <v>2</v>
      </c>
      <c r="B145" s="65"/>
      <c r="C145" s="53" t="s">
        <v>178</v>
      </c>
      <c r="D145" s="26"/>
      <c r="E145" s="26"/>
      <c r="F145" s="26" t="s">
        <v>1515</v>
      </c>
      <c r="G145" s="3" t="s">
        <v>2047</v>
      </c>
      <c r="H145" s="26"/>
    </row>
    <row r="146" spans="1:8" ht="31.2">
      <c r="A146" s="19">
        <v>3</v>
      </c>
      <c r="B146" s="14"/>
      <c r="C146" s="14"/>
      <c r="D146" s="26"/>
      <c r="E146" s="26"/>
      <c r="F146" s="7" t="s">
        <v>1516</v>
      </c>
      <c r="G146" s="3" t="s">
        <v>1788</v>
      </c>
      <c r="H146" s="26"/>
    </row>
    <row r="147" spans="1:8" ht="31.2">
      <c r="A147" s="19">
        <v>3</v>
      </c>
      <c r="B147" s="65" t="s">
        <v>1477</v>
      </c>
      <c r="C147" s="26"/>
      <c r="D147" s="26"/>
      <c r="E147" s="26"/>
      <c r="F147" s="26" t="s">
        <v>1517</v>
      </c>
      <c r="G147" s="3" t="s">
        <v>1788</v>
      </c>
      <c r="H147" s="26"/>
    </row>
    <row r="148" spans="1:8">
      <c r="A148" s="19">
        <v>3</v>
      </c>
      <c r="B148" s="65" t="s">
        <v>1154</v>
      </c>
      <c r="C148" s="26"/>
      <c r="D148" s="26"/>
      <c r="E148" s="26"/>
      <c r="F148" s="26" t="s">
        <v>1518</v>
      </c>
      <c r="G148" s="3" t="s">
        <v>1481</v>
      </c>
      <c r="H148" s="26"/>
    </row>
    <row r="149" spans="1:8" ht="31.2">
      <c r="A149" s="19">
        <v>3</v>
      </c>
      <c r="B149" s="65" t="s">
        <v>1109</v>
      </c>
      <c r="C149" s="26"/>
      <c r="D149" s="26"/>
      <c r="E149" s="26"/>
      <c r="F149" s="26" t="s">
        <v>1519</v>
      </c>
      <c r="G149" s="3" t="s">
        <v>2047</v>
      </c>
      <c r="H149" s="26"/>
    </row>
    <row r="150" spans="1:8" ht="31.2">
      <c r="A150" s="19">
        <v>3</v>
      </c>
      <c r="B150" s="65" t="s">
        <v>1158</v>
      </c>
      <c r="C150" s="26"/>
      <c r="D150" s="26"/>
      <c r="E150" s="26"/>
      <c r="F150" s="26" t="s">
        <v>1520</v>
      </c>
      <c r="G150" s="3" t="s">
        <v>1484</v>
      </c>
      <c r="H150" s="26"/>
    </row>
    <row r="151" spans="1:8" ht="31.2">
      <c r="A151" s="19">
        <v>3</v>
      </c>
      <c r="B151" s="65" t="s">
        <v>121</v>
      </c>
      <c r="C151" s="26"/>
      <c r="D151" s="26"/>
      <c r="E151" s="26"/>
      <c r="F151" s="26" t="s">
        <v>1521</v>
      </c>
      <c r="G151" s="3" t="s">
        <v>2047</v>
      </c>
      <c r="H151" s="26"/>
    </row>
    <row r="152" spans="1:8" ht="31.2">
      <c r="A152" s="19">
        <v>3</v>
      </c>
      <c r="B152" s="65"/>
      <c r="C152" s="53" t="s">
        <v>1030</v>
      </c>
      <c r="D152" s="26"/>
      <c r="E152" s="26"/>
      <c r="F152" s="26" t="s">
        <v>1522</v>
      </c>
      <c r="G152" s="3" t="s">
        <v>1788</v>
      </c>
      <c r="H152" s="26"/>
    </row>
    <row r="153" spans="1:8" ht="31.2">
      <c r="A153" s="19">
        <v>3</v>
      </c>
      <c r="B153" s="65"/>
      <c r="C153" s="53" t="s">
        <v>1155</v>
      </c>
      <c r="D153" s="26"/>
      <c r="E153" s="26"/>
      <c r="F153" s="26" t="s">
        <v>1523</v>
      </c>
      <c r="G153" s="3" t="s">
        <v>1156</v>
      </c>
      <c r="H153" s="26"/>
    </row>
    <row r="154" spans="1:8" ht="31.2">
      <c r="A154" s="19">
        <v>3</v>
      </c>
      <c r="B154" s="65"/>
      <c r="C154" s="53" t="s">
        <v>178</v>
      </c>
      <c r="D154" s="26"/>
      <c r="E154" s="26"/>
      <c r="F154" s="26" t="s">
        <v>1524</v>
      </c>
      <c r="G154" s="3" t="s">
        <v>2047</v>
      </c>
      <c r="H154" s="26"/>
    </row>
    <row r="155" spans="1:8" ht="31.2">
      <c r="A155" s="19">
        <v>4</v>
      </c>
      <c r="B155" s="14"/>
      <c r="C155" s="14"/>
      <c r="D155" s="26"/>
      <c r="E155" s="26"/>
      <c r="F155" s="7" t="s">
        <v>1533</v>
      </c>
      <c r="G155" s="3" t="s">
        <v>1484</v>
      </c>
      <c r="H155" s="26"/>
    </row>
    <row r="156" spans="1:8" ht="31.2">
      <c r="A156" s="19">
        <v>4</v>
      </c>
      <c r="B156" s="65" t="s">
        <v>1477</v>
      </c>
      <c r="C156" s="26"/>
      <c r="D156" s="26"/>
      <c r="E156" s="26"/>
      <c r="F156" s="26" t="s">
        <v>1525</v>
      </c>
      <c r="G156" s="3" t="s">
        <v>1788</v>
      </c>
      <c r="H156" s="26"/>
    </row>
    <row r="157" spans="1:8">
      <c r="A157" s="19">
        <v>4</v>
      </c>
      <c r="B157" s="65" t="s">
        <v>1154</v>
      </c>
      <c r="C157" s="26"/>
      <c r="D157" s="26"/>
      <c r="E157" s="26"/>
      <c r="F157" s="26" t="s">
        <v>1526</v>
      </c>
      <c r="G157" s="3" t="s">
        <v>1481</v>
      </c>
      <c r="H157" s="26"/>
    </row>
    <row r="158" spans="1:8" ht="31.2">
      <c r="A158" s="19">
        <v>4</v>
      </c>
      <c r="B158" s="65" t="s">
        <v>1109</v>
      </c>
      <c r="C158" s="26"/>
      <c r="D158" s="26"/>
      <c r="E158" s="26"/>
      <c r="F158" s="26" t="s">
        <v>1527</v>
      </c>
      <c r="G158" s="3" t="s">
        <v>2047</v>
      </c>
      <c r="H158" s="26"/>
    </row>
    <row r="159" spans="1:8" ht="31.2">
      <c r="A159" s="19">
        <v>4</v>
      </c>
      <c r="B159" s="65" t="s">
        <v>1158</v>
      </c>
      <c r="C159" s="26"/>
      <c r="D159" s="26"/>
      <c r="E159" s="26"/>
      <c r="F159" s="26" t="s">
        <v>1528</v>
      </c>
      <c r="G159" s="3" t="s">
        <v>1484</v>
      </c>
      <c r="H159" s="26"/>
    </row>
    <row r="160" spans="1:8" ht="31.2">
      <c r="A160" s="19">
        <v>4</v>
      </c>
      <c r="B160" s="65" t="s">
        <v>121</v>
      </c>
      <c r="C160" s="26"/>
      <c r="D160" s="26"/>
      <c r="E160" s="26"/>
      <c r="F160" s="26" t="s">
        <v>1529</v>
      </c>
      <c r="G160" s="3" t="s">
        <v>2047</v>
      </c>
      <c r="H160" s="26"/>
    </row>
    <row r="161" spans="1:8" ht="31.2">
      <c r="A161" s="19">
        <v>4</v>
      </c>
      <c r="B161" s="65"/>
      <c r="C161" s="53" t="s">
        <v>1030</v>
      </c>
      <c r="D161" s="26"/>
      <c r="E161" s="26"/>
      <c r="F161" s="26" t="s">
        <v>1530</v>
      </c>
      <c r="G161" s="3" t="s">
        <v>1788</v>
      </c>
      <c r="H161" s="26"/>
    </row>
    <row r="162" spans="1:8" ht="31.2">
      <c r="A162" s="19">
        <v>4</v>
      </c>
      <c r="B162" s="65"/>
      <c r="C162" s="53" t="s">
        <v>1155</v>
      </c>
      <c r="D162" s="26"/>
      <c r="E162" s="26"/>
      <c r="F162" s="26" t="s">
        <v>1531</v>
      </c>
      <c r="G162" s="3" t="s">
        <v>1156</v>
      </c>
      <c r="H162" s="26"/>
    </row>
    <row r="163" spans="1:8" ht="31.2">
      <c r="A163" s="19">
        <v>4</v>
      </c>
      <c r="B163" s="65"/>
      <c r="C163" s="53" t="s">
        <v>178</v>
      </c>
      <c r="D163" s="26"/>
      <c r="E163" s="26"/>
      <c r="F163" s="26" t="s">
        <v>1532</v>
      </c>
      <c r="G163" s="3" t="s">
        <v>2047</v>
      </c>
      <c r="H163" s="26"/>
    </row>
    <row r="164" spans="1:8" ht="31.2">
      <c r="A164" s="19">
        <v>5</v>
      </c>
      <c r="B164" s="14"/>
      <c r="C164" s="14"/>
      <c r="D164" s="26"/>
      <c r="E164" s="26"/>
      <c r="F164" s="26" t="s">
        <v>1566</v>
      </c>
      <c r="G164" s="3" t="s">
        <v>2047</v>
      </c>
      <c r="H164" s="26"/>
    </row>
    <row r="165" spans="1:8" ht="31.2">
      <c r="A165" s="19">
        <v>5</v>
      </c>
      <c r="B165" s="65" t="s">
        <v>1477</v>
      </c>
      <c r="C165" s="26"/>
      <c r="D165" s="26"/>
      <c r="E165" s="26"/>
      <c r="F165" s="26" t="s">
        <v>1534</v>
      </c>
      <c r="G165" s="3" t="s">
        <v>1788</v>
      </c>
      <c r="H165" s="26"/>
    </row>
    <row r="166" spans="1:8">
      <c r="A166" s="19">
        <v>5</v>
      </c>
      <c r="B166" s="65" t="s">
        <v>1154</v>
      </c>
      <c r="C166" s="26"/>
      <c r="D166" s="26"/>
      <c r="E166" s="26"/>
      <c r="F166" s="26" t="s">
        <v>1535</v>
      </c>
      <c r="G166" s="3" t="s">
        <v>1481</v>
      </c>
      <c r="H166" s="26"/>
    </row>
    <row r="167" spans="1:8" ht="31.2">
      <c r="A167" s="19">
        <v>5</v>
      </c>
      <c r="B167" s="65" t="s">
        <v>1109</v>
      </c>
      <c r="C167" s="26"/>
      <c r="D167" s="26"/>
      <c r="E167" s="26"/>
      <c r="F167" s="26" t="s">
        <v>1536</v>
      </c>
      <c r="G167" s="3" t="s">
        <v>2047</v>
      </c>
      <c r="H167" s="26"/>
    </row>
    <row r="168" spans="1:8" ht="31.2">
      <c r="A168" s="19">
        <v>5</v>
      </c>
      <c r="B168" s="65" t="s">
        <v>1158</v>
      </c>
      <c r="C168" s="26"/>
      <c r="D168" s="26"/>
      <c r="E168" s="26"/>
      <c r="F168" s="26" t="s">
        <v>1537</v>
      </c>
      <c r="G168" s="3" t="s">
        <v>1484</v>
      </c>
      <c r="H168" s="26"/>
    </row>
    <row r="169" spans="1:8" ht="31.2">
      <c r="A169" s="19">
        <v>5</v>
      </c>
      <c r="B169" s="65" t="s">
        <v>121</v>
      </c>
      <c r="C169" s="26"/>
      <c r="D169" s="26"/>
      <c r="E169" s="26"/>
      <c r="F169" s="26" t="s">
        <v>1538</v>
      </c>
      <c r="G169" s="3" t="s">
        <v>2047</v>
      </c>
      <c r="H169" s="26"/>
    </row>
    <row r="170" spans="1:8" ht="31.2">
      <c r="A170" s="19">
        <v>5</v>
      </c>
      <c r="B170" s="65"/>
      <c r="C170" s="53" t="s">
        <v>1030</v>
      </c>
      <c r="D170" s="26"/>
      <c r="E170" s="26"/>
      <c r="F170" s="26" t="s">
        <v>1539</v>
      </c>
      <c r="G170" s="3" t="s">
        <v>1788</v>
      </c>
      <c r="H170" s="26"/>
    </row>
    <row r="171" spans="1:8" ht="31.2">
      <c r="A171" s="19">
        <v>5</v>
      </c>
      <c r="B171" s="65"/>
      <c r="C171" s="53" t="s">
        <v>1155</v>
      </c>
      <c r="D171" s="26"/>
      <c r="E171" s="26"/>
      <c r="F171" s="26" t="s">
        <v>1540</v>
      </c>
      <c r="G171" s="3" t="s">
        <v>1156</v>
      </c>
      <c r="H171" s="26"/>
    </row>
    <row r="172" spans="1:8" ht="31.2">
      <c r="A172" s="19">
        <v>5</v>
      </c>
      <c r="B172" s="65"/>
      <c r="C172" s="53" t="s">
        <v>178</v>
      </c>
      <c r="D172" s="26"/>
      <c r="E172" s="26"/>
      <c r="F172" s="26" t="s">
        <v>1541</v>
      </c>
      <c r="G172" s="3" t="s">
        <v>2047</v>
      </c>
      <c r="H172" s="26"/>
    </row>
    <row r="173" spans="1:8" ht="31.2">
      <c r="A173" s="19">
        <v>6</v>
      </c>
      <c r="B173" s="14"/>
      <c r="C173" s="14"/>
      <c r="D173" s="26"/>
      <c r="E173" s="26"/>
      <c r="F173" s="7" t="s">
        <v>1567</v>
      </c>
      <c r="G173" s="3" t="s">
        <v>1788</v>
      </c>
      <c r="H173" s="26"/>
    </row>
    <row r="174" spans="1:8" ht="31.2">
      <c r="A174" s="19">
        <v>6</v>
      </c>
      <c r="B174" s="65" t="s">
        <v>1477</v>
      </c>
      <c r="C174" s="26"/>
      <c r="D174" s="26"/>
      <c r="E174" s="26"/>
      <c r="F174" s="26" t="s">
        <v>1542</v>
      </c>
      <c r="G174" s="3" t="s">
        <v>1788</v>
      </c>
      <c r="H174" s="26"/>
    </row>
    <row r="175" spans="1:8">
      <c r="A175" s="19">
        <v>6</v>
      </c>
      <c r="B175" s="65" t="s">
        <v>1154</v>
      </c>
      <c r="C175" s="26"/>
      <c r="D175" s="26"/>
      <c r="E175" s="26"/>
      <c r="F175" s="26" t="s">
        <v>1543</v>
      </c>
      <c r="G175" s="3" t="s">
        <v>1481</v>
      </c>
      <c r="H175" s="26"/>
    </row>
    <row r="176" spans="1:8" ht="31.2">
      <c r="A176" s="19">
        <v>6</v>
      </c>
      <c r="B176" s="65" t="s">
        <v>1109</v>
      </c>
      <c r="C176" s="26"/>
      <c r="D176" s="26"/>
      <c r="E176" s="26"/>
      <c r="F176" s="26" t="s">
        <v>1544</v>
      </c>
      <c r="G176" s="3" t="s">
        <v>2047</v>
      </c>
      <c r="H176" s="26"/>
    </row>
    <row r="177" spans="1:8" ht="31.2">
      <c r="A177" s="19">
        <v>6</v>
      </c>
      <c r="B177" s="65" t="s">
        <v>1158</v>
      </c>
      <c r="C177" s="26"/>
      <c r="D177" s="26"/>
      <c r="E177" s="26"/>
      <c r="F177" s="26" t="s">
        <v>1545</v>
      </c>
      <c r="G177" s="3" t="s">
        <v>1484</v>
      </c>
      <c r="H177" s="26"/>
    </row>
    <row r="178" spans="1:8" ht="31.2">
      <c r="A178" s="19">
        <v>6</v>
      </c>
      <c r="B178" s="65" t="s">
        <v>121</v>
      </c>
      <c r="C178" s="26"/>
      <c r="D178" s="26"/>
      <c r="E178" s="26"/>
      <c r="F178" s="26" t="s">
        <v>1546</v>
      </c>
      <c r="G178" s="3" t="s">
        <v>2047</v>
      </c>
      <c r="H178" s="26"/>
    </row>
    <row r="179" spans="1:8" ht="31.2">
      <c r="A179" s="19">
        <v>6</v>
      </c>
      <c r="B179" s="65"/>
      <c r="C179" s="53" t="s">
        <v>1030</v>
      </c>
      <c r="D179" s="26"/>
      <c r="E179" s="26"/>
      <c r="F179" s="26" t="s">
        <v>1547</v>
      </c>
      <c r="G179" s="3" t="s">
        <v>1788</v>
      </c>
      <c r="H179" s="26"/>
    </row>
    <row r="180" spans="1:8" ht="31.2">
      <c r="A180" s="19">
        <v>6</v>
      </c>
      <c r="B180" s="65"/>
      <c r="C180" s="53" t="s">
        <v>1155</v>
      </c>
      <c r="D180" s="26"/>
      <c r="E180" s="26"/>
      <c r="F180" s="26" t="s">
        <v>1548</v>
      </c>
      <c r="G180" s="3" t="s">
        <v>1156</v>
      </c>
      <c r="H180" s="26"/>
    </row>
    <row r="181" spans="1:8" ht="31.2">
      <c r="A181" s="19">
        <v>6</v>
      </c>
      <c r="B181" s="65"/>
      <c r="C181" s="53" t="s">
        <v>178</v>
      </c>
      <c r="D181" s="26"/>
      <c r="E181" s="26"/>
      <c r="F181" s="26" t="s">
        <v>1549</v>
      </c>
      <c r="G181" s="3" t="s">
        <v>2047</v>
      </c>
      <c r="H181" s="26"/>
    </row>
    <row r="182" spans="1:8" ht="31.2">
      <c r="A182" s="19">
        <v>8</v>
      </c>
      <c r="B182" s="14"/>
      <c r="C182" s="14"/>
      <c r="D182" s="26"/>
      <c r="E182" s="26"/>
      <c r="F182" s="7" t="s">
        <v>1568</v>
      </c>
      <c r="G182" s="3" t="s">
        <v>1150</v>
      </c>
      <c r="H182" s="26"/>
    </row>
    <row r="183" spans="1:8" ht="31.2">
      <c r="A183" s="19">
        <v>8</v>
      </c>
      <c r="B183" s="65" t="s">
        <v>1477</v>
      </c>
      <c r="C183" s="26"/>
      <c r="D183" s="26"/>
      <c r="E183" s="26"/>
      <c r="F183" s="26" t="s">
        <v>1550</v>
      </c>
      <c r="G183" s="3" t="s">
        <v>1788</v>
      </c>
      <c r="H183" s="26"/>
    </row>
    <row r="184" spans="1:8">
      <c r="A184" s="19">
        <v>8</v>
      </c>
      <c r="B184" s="65" t="s">
        <v>1154</v>
      </c>
      <c r="C184" s="26"/>
      <c r="D184" s="26"/>
      <c r="E184" s="26"/>
      <c r="F184" s="26" t="s">
        <v>1551</v>
      </c>
      <c r="G184" s="3" t="s">
        <v>1481</v>
      </c>
      <c r="H184" s="26"/>
    </row>
    <row r="185" spans="1:8" ht="31.2">
      <c r="A185" s="19">
        <v>8</v>
      </c>
      <c r="B185" s="65" t="s">
        <v>1109</v>
      </c>
      <c r="C185" s="26"/>
      <c r="D185" s="26"/>
      <c r="E185" s="26"/>
      <c r="F185" s="26" t="s">
        <v>1552</v>
      </c>
      <c r="G185" s="3" t="s">
        <v>2047</v>
      </c>
      <c r="H185" s="26"/>
    </row>
    <row r="186" spans="1:8" ht="31.2">
      <c r="A186" s="19">
        <v>8</v>
      </c>
      <c r="B186" s="65" t="s">
        <v>1158</v>
      </c>
      <c r="C186" s="26"/>
      <c r="D186" s="26"/>
      <c r="E186" s="26"/>
      <c r="F186" s="26" t="s">
        <v>1553</v>
      </c>
      <c r="G186" s="3" t="s">
        <v>1484</v>
      </c>
      <c r="H186" s="26"/>
    </row>
    <row r="187" spans="1:8" ht="31.2">
      <c r="A187" s="19">
        <v>8</v>
      </c>
      <c r="B187" s="65" t="s">
        <v>121</v>
      </c>
      <c r="C187" s="26"/>
      <c r="D187" s="26"/>
      <c r="E187" s="26"/>
      <c r="F187" s="26" t="s">
        <v>1554</v>
      </c>
      <c r="G187" s="3" t="s">
        <v>2047</v>
      </c>
      <c r="H187" s="26"/>
    </row>
    <row r="188" spans="1:8" ht="31.2">
      <c r="A188" s="19">
        <v>8</v>
      </c>
      <c r="B188" s="65"/>
      <c r="C188" s="53" t="s">
        <v>1030</v>
      </c>
      <c r="D188" s="26"/>
      <c r="E188" s="26"/>
      <c r="F188" s="26" t="s">
        <v>1555</v>
      </c>
      <c r="G188" s="3" t="s">
        <v>1788</v>
      </c>
      <c r="H188" s="26"/>
    </row>
    <row r="189" spans="1:8" ht="31.2">
      <c r="A189" s="19">
        <v>8</v>
      </c>
      <c r="B189" s="65"/>
      <c r="C189" s="53" t="s">
        <v>1155</v>
      </c>
      <c r="D189" s="26"/>
      <c r="E189" s="26"/>
      <c r="F189" s="26" t="s">
        <v>1556</v>
      </c>
      <c r="G189" s="3" t="s">
        <v>1156</v>
      </c>
      <c r="H189" s="26"/>
    </row>
    <row r="190" spans="1:8" ht="31.2">
      <c r="A190" s="19">
        <v>8</v>
      </c>
      <c r="B190" s="65"/>
      <c r="C190" s="53" t="s">
        <v>178</v>
      </c>
      <c r="D190" s="26"/>
      <c r="E190" s="26"/>
      <c r="F190" s="26" t="s">
        <v>1557</v>
      </c>
      <c r="G190" s="3" t="s">
        <v>2047</v>
      </c>
      <c r="H190" s="26"/>
    </row>
    <row r="191" spans="1:8" ht="31.2">
      <c r="A191" s="19">
        <v>9</v>
      </c>
      <c r="B191" s="14"/>
      <c r="C191" s="14"/>
      <c r="D191" s="26"/>
      <c r="E191" s="26"/>
      <c r="F191" s="7" t="s">
        <v>1569</v>
      </c>
      <c r="G191" s="3" t="s">
        <v>1151</v>
      </c>
      <c r="H191" s="26"/>
    </row>
    <row r="192" spans="1:8" ht="31.2">
      <c r="A192" s="19">
        <v>9</v>
      </c>
      <c r="B192" s="65" t="s">
        <v>1477</v>
      </c>
      <c r="C192" s="26"/>
      <c r="D192" s="26"/>
      <c r="E192" s="26"/>
      <c r="F192" s="26" t="s">
        <v>1558</v>
      </c>
      <c r="G192" s="3" t="s">
        <v>1788</v>
      </c>
      <c r="H192" s="26"/>
    </row>
    <row r="193" spans="1:8">
      <c r="A193" s="19">
        <v>9</v>
      </c>
      <c r="B193" s="65" t="s">
        <v>1154</v>
      </c>
      <c r="C193" s="26"/>
      <c r="D193" s="26"/>
      <c r="E193" s="26"/>
      <c r="F193" s="26" t="s">
        <v>1559</v>
      </c>
      <c r="G193" s="3" t="s">
        <v>1481</v>
      </c>
      <c r="H193" s="26"/>
    </row>
    <row r="194" spans="1:8" ht="31.2">
      <c r="A194" s="19">
        <v>9</v>
      </c>
      <c r="B194" s="65" t="s">
        <v>1109</v>
      </c>
      <c r="C194" s="26"/>
      <c r="D194" s="26"/>
      <c r="E194" s="26"/>
      <c r="F194" s="26" t="s">
        <v>1560</v>
      </c>
      <c r="G194" s="3" t="s">
        <v>2047</v>
      </c>
      <c r="H194" s="26"/>
    </row>
    <row r="195" spans="1:8" ht="31.2">
      <c r="A195" s="19">
        <v>9</v>
      </c>
      <c r="B195" s="65" t="s">
        <v>1158</v>
      </c>
      <c r="C195" s="26"/>
      <c r="D195" s="26"/>
      <c r="E195" s="26"/>
      <c r="F195" s="26" t="s">
        <v>1561</v>
      </c>
      <c r="G195" s="3" t="s">
        <v>1484</v>
      </c>
      <c r="H195" s="26"/>
    </row>
    <row r="196" spans="1:8" ht="31.2">
      <c r="A196" s="19">
        <v>9</v>
      </c>
      <c r="B196" s="65" t="s">
        <v>121</v>
      </c>
      <c r="C196" s="26"/>
      <c r="D196" s="26"/>
      <c r="E196" s="26"/>
      <c r="F196" s="26" t="s">
        <v>1562</v>
      </c>
      <c r="G196" s="3" t="s">
        <v>2047</v>
      </c>
      <c r="H196" s="26"/>
    </row>
    <row r="197" spans="1:8" ht="31.2">
      <c r="A197" s="19">
        <v>9</v>
      </c>
      <c r="B197" s="65"/>
      <c r="C197" s="53" t="s">
        <v>1030</v>
      </c>
      <c r="D197" s="26"/>
      <c r="E197" s="26"/>
      <c r="F197" s="26" t="s">
        <v>1563</v>
      </c>
      <c r="G197" s="3" t="s">
        <v>1788</v>
      </c>
      <c r="H197" s="26"/>
    </row>
    <row r="198" spans="1:8" ht="31.2">
      <c r="A198" s="19">
        <v>9</v>
      </c>
      <c r="B198" s="65"/>
      <c r="C198" s="53" t="s">
        <v>1155</v>
      </c>
      <c r="D198" s="26"/>
      <c r="E198" s="26"/>
      <c r="F198" s="26" t="s">
        <v>1564</v>
      </c>
      <c r="G198" s="3" t="s">
        <v>1156</v>
      </c>
      <c r="H198" s="26"/>
    </row>
    <row r="199" spans="1:8" ht="31.2">
      <c r="A199" s="19">
        <v>9</v>
      </c>
      <c r="B199" s="65"/>
      <c r="C199" s="53" t="s">
        <v>178</v>
      </c>
      <c r="D199" s="26"/>
      <c r="E199" s="26"/>
      <c r="F199" s="26" t="s">
        <v>1565</v>
      </c>
      <c r="G199" s="3" t="s">
        <v>2047</v>
      </c>
      <c r="H199" s="26"/>
    </row>
    <row r="200" spans="1:8" ht="31.2">
      <c r="A200" s="19">
        <v>10</v>
      </c>
      <c r="B200" s="14"/>
      <c r="C200" s="14"/>
      <c r="D200" s="26"/>
      <c r="E200" s="26"/>
      <c r="F200" s="7" t="s">
        <v>1570</v>
      </c>
      <c r="G200" s="3" t="s">
        <v>1152</v>
      </c>
      <c r="H200" s="26"/>
    </row>
    <row r="201" spans="1:8" ht="31.2">
      <c r="A201" s="19">
        <v>10</v>
      </c>
      <c r="B201" s="65" t="s">
        <v>1477</v>
      </c>
      <c r="C201" s="26"/>
      <c r="D201" s="26"/>
      <c r="E201" s="26"/>
      <c r="F201" s="26" t="s">
        <v>1571</v>
      </c>
      <c r="G201" s="3" t="s">
        <v>1788</v>
      </c>
      <c r="H201" s="26"/>
    </row>
    <row r="202" spans="1:8">
      <c r="A202" s="19">
        <v>10</v>
      </c>
      <c r="B202" s="65" t="s">
        <v>1154</v>
      </c>
      <c r="C202" s="26"/>
      <c r="D202" s="26"/>
      <c r="E202" s="26"/>
      <c r="F202" s="26" t="s">
        <v>1572</v>
      </c>
      <c r="G202" s="3" t="s">
        <v>1481</v>
      </c>
      <c r="H202" s="26"/>
    </row>
    <row r="203" spans="1:8" ht="31.2">
      <c r="A203" s="19">
        <v>10</v>
      </c>
      <c r="B203" s="65" t="s">
        <v>1109</v>
      </c>
      <c r="C203" s="26"/>
      <c r="D203" s="26"/>
      <c r="E203" s="26"/>
      <c r="F203" s="26" t="s">
        <v>1573</v>
      </c>
      <c r="G203" s="3" t="s">
        <v>2047</v>
      </c>
      <c r="H203" s="26"/>
    </row>
    <row r="204" spans="1:8" ht="31.2">
      <c r="A204" s="19">
        <v>10</v>
      </c>
      <c r="B204" s="65" t="s">
        <v>1158</v>
      </c>
      <c r="C204" s="26"/>
      <c r="D204" s="26"/>
      <c r="E204" s="26"/>
      <c r="F204" s="26" t="s">
        <v>1574</v>
      </c>
      <c r="G204" s="3" t="s">
        <v>1484</v>
      </c>
      <c r="H204" s="26"/>
    </row>
    <row r="205" spans="1:8" ht="31.2">
      <c r="A205" s="19">
        <v>10</v>
      </c>
      <c r="B205" s="65" t="s">
        <v>121</v>
      </c>
      <c r="C205" s="26"/>
      <c r="D205" s="26"/>
      <c r="E205" s="26"/>
      <c r="F205" s="26" t="s">
        <v>1575</v>
      </c>
      <c r="G205" s="3" t="s">
        <v>2047</v>
      </c>
      <c r="H205" s="26"/>
    </row>
    <row r="206" spans="1:8" ht="31.2">
      <c r="A206" s="19">
        <v>10</v>
      </c>
      <c r="B206" s="65"/>
      <c r="C206" s="53" t="s">
        <v>1030</v>
      </c>
      <c r="D206" s="26"/>
      <c r="E206" s="26"/>
      <c r="F206" s="26" t="s">
        <v>1576</v>
      </c>
      <c r="G206" s="3" t="s">
        <v>1788</v>
      </c>
      <c r="H206" s="26"/>
    </row>
    <row r="207" spans="1:8" ht="31.2">
      <c r="A207" s="19">
        <v>10</v>
      </c>
      <c r="B207" s="65"/>
      <c r="C207" s="53" t="s">
        <v>1155</v>
      </c>
      <c r="D207" s="26"/>
      <c r="E207" s="26"/>
      <c r="F207" s="26" t="s">
        <v>1577</v>
      </c>
      <c r="G207" s="3" t="s">
        <v>1156</v>
      </c>
      <c r="H207" s="26"/>
    </row>
    <row r="208" spans="1:8" ht="31.2">
      <c r="A208" s="19">
        <v>10</v>
      </c>
      <c r="B208" s="65"/>
      <c r="C208" s="53" t="s">
        <v>178</v>
      </c>
      <c r="D208" s="26"/>
      <c r="E208" s="26"/>
      <c r="F208" s="26" t="s">
        <v>1578</v>
      </c>
      <c r="G208" s="3" t="s">
        <v>2047</v>
      </c>
      <c r="H208" s="26"/>
    </row>
    <row r="209" spans="1:8" ht="31.2">
      <c r="A209" s="19">
        <v>11</v>
      </c>
      <c r="B209" s="26"/>
      <c r="C209" s="26"/>
      <c r="D209" s="26"/>
      <c r="E209" s="26"/>
      <c r="F209" s="7" t="s">
        <v>1579</v>
      </c>
      <c r="G209" s="3" t="s">
        <v>1153</v>
      </c>
      <c r="H209" s="26"/>
    </row>
    <row r="210" spans="1:8" ht="31.2">
      <c r="A210" s="19">
        <v>11</v>
      </c>
      <c r="B210" s="65" t="s">
        <v>1477</v>
      </c>
      <c r="C210" s="26"/>
      <c r="D210" s="26"/>
      <c r="E210" s="26"/>
      <c r="F210" s="26" t="s">
        <v>1580</v>
      </c>
      <c r="G210" s="3" t="s">
        <v>1788</v>
      </c>
      <c r="H210" s="26"/>
    </row>
    <row r="211" spans="1:8">
      <c r="A211" s="19">
        <v>11</v>
      </c>
      <c r="B211" s="65" t="s">
        <v>1154</v>
      </c>
      <c r="C211" s="26"/>
      <c r="D211" s="26"/>
      <c r="E211" s="26"/>
      <c r="F211" s="26" t="s">
        <v>1581</v>
      </c>
      <c r="G211" s="3" t="s">
        <v>1481</v>
      </c>
      <c r="H211" s="26"/>
    </row>
    <row r="212" spans="1:8" ht="31.2">
      <c r="A212" s="19">
        <v>11</v>
      </c>
      <c r="B212" s="65" t="s">
        <v>1109</v>
      </c>
      <c r="C212" s="26"/>
      <c r="D212" s="26"/>
      <c r="E212" s="26"/>
      <c r="F212" s="26" t="s">
        <v>1582</v>
      </c>
      <c r="G212" s="3" t="s">
        <v>2047</v>
      </c>
      <c r="H212" s="26"/>
    </row>
    <row r="213" spans="1:8" ht="31.2">
      <c r="A213" s="19">
        <v>11</v>
      </c>
      <c r="B213" s="65" t="s">
        <v>1158</v>
      </c>
      <c r="C213" s="26"/>
      <c r="D213" s="26"/>
      <c r="E213" s="26"/>
      <c r="F213" s="26" t="s">
        <v>1583</v>
      </c>
      <c r="G213" s="3" t="s">
        <v>1484</v>
      </c>
      <c r="H213" s="26"/>
    </row>
    <row r="214" spans="1:8" ht="31.2">
      <c r="A214" s="19">
        <v>11</v>
      </c>
      <c r="B214" s="65" t="s">
        <v>121</v>
      </c>
      <c r="C214" s="26"/>
      <c r="D214" s="26"/>
      <c r="E214" s="26"/>
      <c r="F214" s="26" t="s">
        <v>1584</v>
      </c>
      <c r="G214" s="3" t="s">
        <v>2047</v>
      </c>
      <c r="H214" s="26"/>
    </row>
    <row r="215" spans="1:8" ht="31.2">
      <c r="A215" s="19">
        <v>11</v>
      </c>
      <c r="B215" s="65"/>
      <c r="C215" s="53" t="s">
        <v>1030</v>
      </c>
      <c r="D215" s="26"/>
      <c r="E215" s="26"/>
      <c r="F215" s="26" t="s">
        <v>1585</v>
      </c>
      <c r="G215" s="3" t="s">
        <v>1788</v>
      </c>
      <c r="H215" s="26"/>
    </row>
    <row r="216" spans="1:8" ht="31.2">
      <c r="A216" s="19">
        <v>11</v>
      </c>
      <c r="B216" s="65"/>
      <c r="C216" s="53" t="s">
        <v>1155</v>
      </c>
      <c r="D216" s="26"/>
      <c r="E216" s="26"/>
      <c r="F216" s="26" t="s">
        <v>1586</v>
      </c>
      <c r="G216" s="3" t="s">
        <v>1156</v>
      </c>
      <c r="H216" s="26"/>
    </row>
    <row r="217" spans="1:8" ht="31.2">
      <c r="A217" s="19">
        <v>11</v>
      </c>
      <c r="B217" s="65"/>
      <c r="C217" s="53" t="s">
        <v>178</v>
      </c>
      <c r="D217" s="26"/>
      <c r="E217" s="26"/>
      <c r="F217" s="26" t="s">
        <v>1587</v>
      </c>
      <c r="G217" s="3" t="s">
        <v>2047</v>
      </c>
      <c r="H217" s="26"/>
    </row>
    <row r="218" spans="1:8">
      <c r="A218" s="19">
        <v>7</v>
      </c>
      <c r="B218" s="26"/>
      <c r="C218" s="26"/>
      <c r="D218" s="26"/>
      <c r="E218" s="26"/>
      <c r="F218" s="7" t="s">
        <v>1588</v>
      </c>
      <c r="G218" s="26" t="s">
        <v>1589</v>
      </c>
      <c r="H218" s="26"/>
    </row>
    <row r="219" spans="1:8" ht="31.2">
      <c r="A219" s="19">
        <v>7</v>
      </c>
      <c r="B219" s="65" t="s">
        <v>1477</v>
      </c>
      <c r="C219" s="26"/>
      <c r="D219" s="26"/>
      <c r="E219" s="26"/>
      <c r="F219" s="26" t="s">
        <v>1590</v>
      </c>
      <c r="G219" s="3" t="s">
        <v>1788</v>
      </c>
      <c r="H219" s="26"/>
    </row>
    <row r="220" spans="1:8">
      <c r="A220" s="19">
        <v>7</v>
      </c>
      <c r="B220" s="65" t="s">
        <v>1154</v>
      </c>
      <c r="C220" s="26"/>
      <c r="D220" s="26"/>
      <c r="E220" s="26"/>
      <c r="F220" s="26" t="s">
        <v>1591</v>
      </c>
      <c r="G220" s="3" t="s">
        <v>1481</v>
      </c>
      <c r="H220" s="26"/>
    </row>
    <row r="221" spans="1:8" ht="31.2">
      <c r="A221" s="19">
        <v>7</v>
      </c>
      <c r="B221" s="65" t="s">
        <v>1109</v>
      </c>
      <c r="C221" s="26"/>
      <c r="D221" s="26"/>
      <c r="E221" s="26"/>
      <c r="F221" s="26" t="s">
        <v>1592</v>
      </c>
      <c r="G221" s="3" t="s">
        <v>2047</v>
      </c>
      <c r="H221" s="26"/>
    </row>
    <row r="222" spans="1:8" ht="31.2">
      <c r="A222" s="19">
        <v>7</v>
      </c>
      <c r="B222" s="65" t="s">
        <v>1158</v>
      </c>
      <c r="C222" s="26"/>
      <c r="D222" s="26"/>
      <c r="E222" s="26"/>
      <c r="F222" s="26" t="s">
        <v>1593</v>
      </c>
      <c r="G222" s="3" t="s">
        <v>1484</v>
      </c>
      <c r="H222" s="26"/>
    </row>
    <row r="223" spans="1:8" ht="31.2">
      <c r="A223" s="19">
        <v>7</v>
      </c>
      <c r="B223" s="65" t="s">
        <v>121</v>
      </c>
      <c r="C223" s="26"/>
      <c r="D223" s="26"/>
      <c r="E223" s="26"/>
      <c r="F223" s="26" t="s">
        <v>1594</v>
      </c>
      <c r="G223" s="3" t="s">
        <v>2047</v>
      </c>
      <c r="H223" s="26"/>
    </row>
    <row r="224" spans="1:8" ht="31.2">
      <c r="A224" s="19">
        <v>7</v>
      </c>
      <c r="B224" s="65"/>
      <c r="C224" s="53" t="s">
        <v>1030</v>
      </c>
      <c r="D224" s="26"/>
      <c r="E224" s="26"/>
      <c r="F224" s="26" t="s">
        <v>1595</v>
      </c>
      <c r="G224" s="3" t="s">
        <v>1788</v>
      </c>
      <c r="H224" s="26"/>
    </row>
    <row r="225" spans="1:8" ht="31.2">
      <c r="A225" s="19">
        <v>7</v>
      </c>
      <c r="B225" s="65"/>
      <c r="C225" s="53" t="s">
        <v>1155</v>
      </c>
      <c r="D225" s="26"/>
      <c r="E225" s="26"/>
      <c r="F225" s="26" t="s">
        <v>1596</v>
      </c>
      <c r="G225" s="3" t="s">
        <v>1156</v>
      </c>
      <c r="H225" s="26"/>
    </row>
    <row r="226" spans="1:8" ht="31.2">
      <c r="A226" s="19">
        <v>7</v>
      </c>
      <c r="B226" s="65"/>
      <c r="C226" s="53" t="s">
        <v>178</v>
      </c>
      <c r="D226" s="26"/>
      <c r="E226" s="26"/>
      <c r="F226" s="26" t="s">
        <v>1597</v>
      </c>
      <c r="G226" s="3" t="s">
        <v>2047</v>
      </c>
      <c r="H226" s="26"/>
    </row>
    <row r="227" spans="1:8" ht="31.2">
      <c r="A227" s="19">
        <v>22</v>
      </c>
      <c r="B227" s="26"/>
      <c r="C227" s="26"/>
      <c r="D227" s="26"/>
      <c r="E227" s="26"/>
      <c r="F227" s="7" t="s">
        <v>1613</v>
      </c>
      <c r="G227" s="3" t="s">
        <v>207</v>
      </c>
      <c r="H227" s="26"/>
    </row>
    <row r="228" spans="1:8" ht="31.2">
      <c r="A228" s="19">
        <v>22</v>
      </c>
      <c r="B228" s="65" t="s">
        <v>1477</v>
      </c>
      <c r="C228" s="26"/>
      <c r="D228" s="26"/>
      <c r="E228" s="26"/>
      <c r="F228" s="26" t="s">
        <v>1614</v>
      </c>
      <c r="G228" s="3" t="s">
        <v>1788</v>
      </c>
      <c r="H228" s="26"/>
    </row>
    <row r="229" spans="1:8">
      <c r="A229" s="19">
        <v>22</v>
      </c>
      <c r="B229" s="65" t="s">
        <v>1154</v>
      </c>
      <c r="C229" s="26"/>
      <c r="D229" s="26"/>
      <c r="E229" s="26"/>
      <c r="F229" s="26" t="s">
        <v>1615</v>
      </c>
      <c r="G229" s="3" t="s">
        <v>1481</v>
      </c>
      <c r="H229" s="26"/>
    </row>
    <row r="230" spans="1:8" ht="31.2">
      <c r="A230" s="19">
        <v>22</v>
      </c>
      <c r="B230" s="65" t="s">
        <v>1109</v>
      </c>
      <c r="C230" s="26"/>
      <c r="D230" s="26"/>
      <c r="E230" s="26"/>
      <c r="F230" s="26" t="s">
        <v>1616</v>
      </c>
      <c r="G230" s="3" t="s">
        <v>2047</v>
      </c>
      <c r="H230" s="26"/>
    </row>
    <row r="231" spans="1:8" ht="31.2">
      <c r="A231" s="19">
        <v>22</v>
      </c>
      <c r="B231" s="65" t="s">
        <v>1158</v>
      </c>
      <c r="C231" s="26"/>
      <c r="D231" s="26"/>
      <c r="E231" s="26"/>
      <c r="F231" s="26" t="s">
        <v>1617</v>
      </c>
      <c r="G231" s="3" t="s">
        <v>1484</v>
      </c>
      <c r="H231" s="26"/>
    </row>
    <row r="232" spans="1:8" ht="31.2">
      <c r="A232" s="19">
        <v>22</v>
      </c>
      <c r="B232" s="65" t="s">
        <v>121</v>
      </c>
      <c r="C232" s="26"/>
      <c r="D232" s="26"/>
      <c r="E232" s="26"/>
      <c r="F232" s="26" t="s">
        <v>1618</v>
      </c>
      <c r="G232" s="3" t="s">
        <v>2047</v>
      </c>
      <c r="H232" s="26"/>
    </row>
    <row r="233" spans="1:8" ht="31.2">
      <c r="A233" s="19">
        <v>22</v>
      </c>
      <c r="B233" s="65"/>
      <c r="C233" s="53" t="s">
        <v>1030</v>
      </c>
      <c r="D233" s="26"/>
      <c r="E233" s="26"/>
      <c r="F233" s="26" t="s">
        <v>1619</v>
      </c>
      <c r="G233" s="3" t="s">
        <v>1788</v>
      </c>
      <c r="H233" s="26"/>
    </row>
    <row r="234" spans="1:8" ht="31.2">
      <c r="A234" s="19">
        <v>22</v>
      </c>
      <c r="B234" s="65"/>
      <c r="C234" s="53" t="s">
        <v>1155</v>
      </c>
      <c r="D234" s="26"/>
      <c r="E234" s="26"/>
      <c r="F234" s="26" t="s">
        <v>1620</v>
      </c>
      <c r="G234" s="3" t="s">
        <v>1156</v>
      </c>
      <c r="H234" s="26"/>
    </row>
    <row r="235" spans="1:8" ht="31.2">
      <c r="A235" s="19">
        <v>22</v>
      </c>
      <c r="B235" s="65"/>
      <c r="C235" s="53" t="s">
        <v>178</v>
      </c>
      <c r="D235" s="26"/>
      <c r="E235" s="26"/>
      <c r="F235" s="26" t="s">
        <v>1621</v>
      </c>
      <c r="G235" s="3" t="s">
        <v>2047</v>
      </c>
      <c r="H235" s="26"/>
    </row>
  </sheetData>
  <mergeCells count="8">
    <mergeCell ref="A34:B34"/>
    <mergeCell ref="A44:D44"/>
    <mergeCell ref="A106:H106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0100-000000000000}">
      <formula1>"Tags Normal,Tags Reversed,Local"</formula1>
    </dataValidation>
    <dataValidation type="list" allowBlank="1" showInputMessage="1" showErrorMessage="1" sqref="B29 B31 B33 B35 B19:B21" xr:uid="{00000000-0002-0000-0100-000001000000}">
      <formula1>"Checked,Unchecked"</formula1>
    </dataValidation>
    <dataValidation type="list" allowBlank="1" showInputMessage="1" showErrorMessage="1" sqref="B25" xr:uid="{00000000-0002-0000-0100-000002000000}">
      <formula1>"N/A,Tags Normal,Tags Reversed,Direct Assignment"</formula1>
    </dataValidation>
    <dataValidation type="list" allowBlank="1" showInputMessage="1" showErrorMessage="1" sqref="B37" xr:uid="{00000000-0002-0000-0100-000003000000}">
      <formula1>"JSON,XML,CEF,LEEF,Key-Value Pairs,Delimited,Limited Structure"</formula1>
    </dataValidation>
    <dataValidation type="list" allowBlank="1" showInputMessage="1" showErrorMessage="1" sqref="B23:B24" xr:uid="{00000000-0002-0000-0100-000004000000}">
      <formula1>"N/A,Tags,Log Message Source"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93"/>
  <sheetViews>
    <sheetView topLeftCell="D79" zoomScaleNormal="100" workbookViewId="0">
      <selection activeCell="G82" sqref="G82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9</v>
      </c>
    </row>
    <row r="4" spans="1:8">
      <c r="A4" s="6" t="s">
        <v>10</v>
      </c>
      <c r="B4" s="7" t="s">
        <v>204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206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207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208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34">
      <c r="A41" s="8" t="s">
        <v>48</v>
      </c>
      <c r="B41" s="11" t="s">
        <v>209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55</v>
      </c>
      <c r="C46" s="47">
        <v>43595</v>
      </c>
      <c r="D46" s="15"/>
      <c r="E46" s="10"/>
      <c r="F46" s="10"/>
      <c r="G46" s="10"/>
    </row>
    <row r="47" spans="1:8">
      <c r="A47" s="46" t="s">
        <v>56</v>
      </c>
      <c r="B47" s="46" t="s">
        <v>57</v>
      </c>
      <c r="C47" s="48">
        <v>0.48457175925925899</v>
      </c>
      <c r="D47" s="15"/>
      <c r="E47" s="10"/>
      <c r="F47" s="10"/>
      <c r="G47" s="10"/>
    </row>
    <row r="48" spans="1:8">
      <c r="A48" s="46" t="s">
        <v>58</v>
      </c>
      <c r="B48" s="46" t="s">
        <v>210</v>
      </c>
      <c r="C48" s="67" t="s">
        <v>1436</v>
      </c>
      <c r="D48" s="18" t="s">
        <v>67</v>
      </c>
      <c r="E48" s="10"/>
      <c r="F48" s="10"/>
      <c r="G48" s="10"/>
    </row>
    <row r="49" spans="1:7" ht="31.2">
      <c r="A49" s="46" t="s">
        <v>60</v>
      </c>
      <c r="B49" s="46" t="s">
        <v>211</v>
      </c>
      <c r="C49" s="41" t="s">
        <v>62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46" t="s">
        <v>212</v>
      </c>
      <c r="C50" s="41" t="s">
        <v>213</v>
      </c>
      <c r="D50" s="18"/>
      <c r="E50" s="10"/>
      <c r="F50" s="10"/>
      <c r="G50" s="10"/>
    </row>
    <row r="51" spans="1:7" ht="31.2">
      <c r="A51" s="46" t="s">
        <v>68</v>
      </c>
      <c r="B51" s="46" t="s">
        <v>214</v>
      </c>
      <c r="C51" s="41" t="s">
        <v>70</v>
      </c>
      <c r="D51" s="45" t="s">
        <v>71</v>
      </c>
      <c r="E51" s="10"/>
      <c r="F51" s="10"/>
      <c r="G51" s="10"/>
    </row>
    <row r="52" spans="1:7">
      <c r="A52" s="46" t="s">
        <v>72</v>
      </c>
      <c r="B52" s="46" t="s">
        <v>215</v>
      </c>
      <c r="C52" s="41" t="s">
        <v>74</v>
      </c>
      <c r="D52" s="14"/>
      <c r="E52" s="10"/>
      <c r="F52" s="10"/>
      <c r="G52" s="10"/>
    </row>
    <row r="53" spans="1:7">
      <c r="A53" s="46" t="s">
        <v>75</v>
      </c>
      <c r="B53" s="46" t="s">
        <v>216</v>
      </c>
      <c r="C53" s="41">
        <v>1.5575142483799099E+18</v>
      </c>
      <c r="D53" s="45"/>
      <c r="E53" s="10"/>
      <c r="F53" s="10"/>
      <c r="G53" s="10"/>
    </row>
    <row r="54" spans="1:7">
      <c r="A54" s="46" t="s">
        <v>77</v>
      </c>
      <c r="B54" s="46" t="s">
        <v>217</v>
      </c>
      <c r="C54" s="41" t="s">
        <v>218</v>
      </c>
      <c r="D54" s="49" t="s">
        <v>80</v>
      </c>
      <c r="E54" s="10"/>
      <c r="F54" s="10"/>
      <c r="G54" s="10"/>
    </row>
    <row r="55" spans="1:7">
      <c r="A55" s="46" t="s">
        <v>81</v>
      </c>
      <c r="B55" s="46" t="s">
        <v>219</v>
      </c>
      <c r="C55" s="41">
        <v>62024</v>
      </c>
      <c r="D55" s="49" t="s">
        <v>83</v>
      </c>
      <c r="E55" s="10"/>
      <c r="F55" s="10"/>
      <c r="G55" s="10"/>
    </row>
    <row r="56" spans="1:7">
      <c r="A56" s="4" t="s">
        <v>84</v>
      </c>
      <c r="B56" s="46"/>
      <c r="C56" s="5" t="s">
        <v>100</v>
      </c>
      <c r="D56" s="49"/>
      <c r="E56" s="10"/>
      <c r="F56" s="10"/>
      <c r="G56" s="10"/>
    </row>
    <row r="57" spans="1:7">
      <c r="A57" s="4" t="s">
        <v>88</v>
      </c>
      <c r="B57" s="46"/>
      <c r="C57" s="5" t="s">
        <v>90</v>
      </c>
      <c r="D57" s="49"/>
      <c r="E57" s="10"/>
      <c r="F57" s="10"/>
      <c r="G57" s="10"/>
    </row>
    <row r="58" spans="1:7">
      <c r="A58" s="46" t="s">
        <v>91</v>
      </c>
      <c r="B58" s="46" t="s">
        <v>220</v>
      </c>
      <c r="C58" s="41" t="s">
        <v>221</v>
      </c>
      <c r="D58" s="49" t="s">
        <v>94</v>
      </c>
      <c r="E58" s="10"/>
      <c r="F58" s="10"/>
      <c r="G58" s="10"/>
    </row>
    <row r="59" spans="1:7">
      <c r="A59" s="46" t="s">
        <v>95</v>
      </c>
      <c r="B59" s="46" t="s">
        <v>222</v>
      </c>
      <c r="C59" s="41">
        <v>443</v>
      </c>
      <c r="D59" s="49" t="s">
        <v>97</v>
      </c>
      <c r="E59" s="10"/>
      <c r="F59" s="10"/>
      <c r="G59" s="10"/>
    </row>
    <row r="60" spans="1:7">
      <c r="A60" s="4" t="s">
        <v>98</v>
      </c>
      <c r="B60" s="46"/>
      <c r="C60" s="5" t="s">
        <v>74</v>
      </c>
      <c r="D60" s="49"/>
      <c r="E60" s="10"/>
      <c r="F60" s="10"/>
      <c r="G60" s="10"/>
    </row>
    <row r="61" spans="1:7">
      <c r="A61" s="4" t="s">
        <v>102</v>
      </c>
      <c r="B61" s="46"/>
      <c r="C61" s="5" t="s">
        <v>90</v>
      </c>
      <c r="D61" s="49"/>
      <c r="E61" s="10"/>
      <c r="F61" s="10"/>
      <c r="G61" s="10"/>
    </row>
    <row r="62" spans="1:7">
      <c r="A62" s="4" t="s">
        <v>113</v>
      </c>
      <c r="B62" s="46"/>
      <c r="C62" s="5">
        <v>107478</v>
      </c>
      <c r="D62" s="49"/>
      <c r="E62" s="10"/>
      <c r="F62" s="10"/>
      <c r="G62" s="10"/>
    </row>
    <row r="63" spans="1:7" ht="31.2">
      <c r="A63" s="46" t="s">
        <v>116</v>
      </c>
      <c r="B63" s="46" t="s">
        <v>227</v>
      </c>
      <c r="C63" s="41">
        <v>6</v>
      </c>
      <c r="D63" s="19" t="s">
        <v>1460</v>
      </c>
      <c r="E63" s="10"/>
      <c r="F63" s="10"/>
      <c r="G63" s="10"/>
    </row>
    <row r="64" spans="1:7" ht="31.2">
      <c r="A64" s="4" t="s">
        <v>119</v>
      </c>
      <c r="B64" s="46"/>
      <c r="C64" s="5" t="s">
        <v>1159</v>
      </c>
      <c r="D64" s="19" t="s">
        <v>477</v>
      </c>
      <c r="E64" s="10"/>
      <c r="F64" s="10"/>
      <c r="G64" s="10"/>
    </row>
    <row r="65" spans="1:8">
      <c r="A65" s="4" t="s">
        <v>123</v>
      </c>
      <c r="B65" s="46"/>
      <c r="C65" s="5">
        <v>0</v>
      </c>
      <c r="D65" s="45"/>
      <c r="E65" s="10"/>
      <c r="F65" s="10"/>
      <c r="G65" s="10"/>
    </row>
    <row r="66" spans="1:8">
      <c r="A66" s="4" t="s">
        <v>125</v>
      </c>
      <c r="B66" s="46"/>
      <c r="C66" s="5" t="s">
        <v>1160</v>
      </c>
      <c r="D66" s="19" t="s">
        <v>128</v>
      </c>
      <c r="E66" s="10"/>
      <c r="F66" s="10"/>
      <c r="G66" s="10"/>
    </row>
    <row r="67" spans="1:8">
      <c r="A67" s="4" t="s">
        <v>129</v>
      </c>
      <c r="B67" s="46"/>
      <c r="C67" s="5" t="s">
        <v>266</v>
      </c>
      <c r="D67" s="19"/>
      <c r="E67" s="10"/>
      <c r="F67" s="10"/>
      <c r="G67" s="10"/>
    </row>
    <row r="68" spans="1:8" ht="31.2">
      <c r="A68" s="46" t="s">
        <v>133</v>
      </c>
      <c r="B68" s="46" t="s">
        <v>223</v>
      </c>
      <c r="C68" s="41" t="s">
        <v>138</v>
      </c>
      <c r="D68" s="14"/>
      <c r="E68" s="10"/>
      <c r="F68" s="10"/>
      <c r="G68" s="10"/>
    </row>
    <row r="69" spans="1:8">
      <c r="A69" s="46" t="s">
        <v>136</v>
      </c>
      <c r="B69" s="46" t="s">
        <v>224</v>
      </c>
      <c r="C69" s="41" t="s">
        <v>138</v>
      </c>
      <c r="D69" s="14"/>
      <c r="E69" s="10"/>
      <c r="F69" s="10"/>
      <c r="G69" s="10"/>
    </row>
    <row r="70" spans="1:8" ht="46.8">
      <c r="A70" s="46" t="s">
        <v>139</v>
      </c>
      <c r="B70" s="46" t="s">
        <v>225</v>
      </c>
      <c r="C70" s="41" t="s">
        <v>226</v>
      </c>
      <c r="D70" s="14"/>
      <c r="E70" s="10"/>
      <c r="F70" s="10"/>
      <c r="G70" s="10"/>
    </row>
    <row r="71" spans="1:8">
      <c r="A71" s="4" t="s">
        <v>150</v>
      </c>
      <c r="B71" s="46"/>
      <c r="C71" s="41" t="s">
        <v>233</v>
      </c>
      <c r="D71" s="45" t="s">
        <v>302</v>
      </c>
      <c r="E71" s="10"/>
      <c r="F71" s="10"/>
      <c r="G71" s="10"/>
    </row>
    <row r="72" spans="1:8">
      <c r="A72" s="46" t="s">
        <v>162</v>
      </c>
      <c r="B72" s="46" t="s">
        <v>228</v>
      </c>
      <c r="C72" s="41">
        <v>5</v>
      </c>
      <c r="D72" s="14"/>
      <c r="E72" s="10"/>
      <c r="F72" s="10"/>
      <c r="G72" s="10"/>
    </row>
    <row r="73" spans="1:8" ht="31.2">
      <c r="A73" s="46" t="s">
        <v>164</v>
      </c>
      <c r="B73" s="46" t="s">
        <v>229</v>
      </c>
      <c r="C73" s="41">
        <v>1247</v>
      </c>
      <c r="D73" s="45" t="s">
        <v>166</v>
      </c>
      <c r="E73" s="10"/>
      <c r="F73" s="10"/>
      <c r="G73" s="10"/>
    </row>
    <row r="74" spans="1:8" ht="31.2">
      <c r="A74" s="46" t="s">
        <v>167</v>
      </c>
      <c r="B74" s="46" t="s">
        <v>230</v>
      </c>
      <c r="C74" s="41">
        <v>1719</v>
      </c>
      <c r="D74" s="45" t="s">
        <v>169</v>
      </c>
      <c r="E74" s="10"/>
      <c r="F74" s="10"/>
      <c r="G74" s="10"/>
    </row>
    <row r="75" spans="1:8" ht="31.2">
      <c r="A75" s="46" t="s">
        <v>170</v>
      </c>
      <c r="B75" s="46" t="s">
        <v>231</v>
      </c>
      <c r="C75" s="41">
        <v>5</v>
      </c>
      <c r="D75" s="45" t="s">
        <v>172</v>
      </c>
      <c r="E75" s="10"/>
      <c r="F75" s="10"/>
      <c r="G75" s="10"/>
    </row>
    <row r="76" spans="1:8" ht="31.2">
      <c r="A76" s="46" t="s">
        <v>173</v>
      </c>
      <c r="B76" s="46" t="s">
        <v>232</v>
      </c>
      <c r="C76" s="41">
        <v>6</v>
      </c>
      <c r="D76" s="45" t="s">
        <v>175</v>
      </c>
      <c r="E76" s="10"/>
      <c r="F76" s="10"/>
      <c r="G76" s="10"/>
    </row>
    <row r="77" spans="1:8" ht="46.8">
      <c r="A77" s="46" t="s">
        <v>153</v>
      </c>
      <c r="B77" s="46" t="s">
        <v>234</v>
      </c>
      <c r="C77" s="41" t="s">
        <v>235</v>
      </c>
      <c r="D77" s="45" t="s">
        <v>298</v>
      </c>
      <c r="E77" s="10"/>
      <c r="F77" s="10"/>
      <c r="G77" s="10"/>
    </row>
    <row r="78" spans="1:8">
      <c r="A78" s="13"/>
      <c r="B78" s="10"/>
      <c r="C78" s="10"/>
      <c r="D78" s="10"/>
      <c r="E78" s="10"/>
      <c r="F78" s="10"/>
      <c r="G78" s="10"/>
      <c r="H78" s="10"/>
    </row>
    <row r="79" spans="1:8">
      <c r="A79" s="13"/>
      <c r="B79" s="10"/>
      <c r="C79" s="10"/>
      <c r="D79" s="10"/>
      <c r="E79" s="10"/>
      <c r="F79" s="10"/>
      <c r="G79" s="10"/>
      <c r="H79" s="10"/>
    </row>
    <row r="80" spans="1:8">
      <c r="A80" s="113" t="s">
        <v>196</v>
      </c>
      <c r="B80" s="113"/>
      <c r="C80" s="113"/>
      <c r="D80" s="113"/>
      <c r="E80" s="113"/>
      <c r="F80" s="113"/>
      <c r="G80" s="113"/>
      <c r="H80" s="113"/>
    </row>
    <row r="81" spans="1:8">
      <c r="A81" s="14" t="s">
        <v>1432</v>
      </c>
      <c r="B81" s="14" t="s">
        <v>197</v>
      </c>
      <c r="C81" s="14" t="s">
        <v>198</v>
      </c>
      <c r="D81" s="14" t="s">
        <v>199</v>
      </c>
      <c r="E81" s="14" t="s">
        <v>200</v>
      </c>
      <c r="F81" s="14" t="s">
        <v>202</v>
      </c>
      <c r="G81" s="14" t="s">
        <v>21</v>
      </c>
      <c r="H81" s="14" t="s">
        <v>203</v>
      </c>
    </row>
    <row r="82" spans="1:8">
      <c r="A82" s="19">
        <v>14</v>
      </c>
      <c r="B82" s="26"/>
      <c r="C82" s="26"/>
      <c r="D82" s="26"/>
      <c r="E82" s="26"/>
      <c r="F82" s="7" t="s">
        <v>1598</v>
      </c>
      <c r="G82" s="3" t="s">
        <v>2049</v>
      </c>
      <c r="H82" s="43"/>
    </row>
    <row r="83" spans="1:8" ht="31.2">
      <c r="A83" s="19">
        <v>14</v>
      </c>
      <c r="B83" s="42" t="s">
        <v>1477</v>
      </c>
      <c r="C83" s="34"/>
      <c r="D83" s="26"/>
      <c r="E83" s="26"/>
      <c r="F83" s="26" t="s">
        <v>1599</v>
      </c>
      <c r="G83" s="3" t="s">
        <v>1788</v>
      </c>
      <c r="H83" s="44"/>
    </row>
    <row r="84" spans="1:8">
      <c r="A84" s="19">
        <v>14</v>
      </c>
      <c r="B84" s="42" t="s">
        <v>1154</v>
      </c>
      <c r="C84" s="34"/>
      <c r="D84" s="26"/>
      <c r="E84" s="26"/>
      <c r="F84" s="26" t="s">
        <v>1600</v>
      </c>
      <c r="G84" s="3" t="s">
        <v>1481</v>
      </c>
      <c r="H84" s="44"/>
    </row>
    <row r="85" spans="1:8" ht="31.2">
      <c r="A85" s="19">
        <v>14</v>
      </c>
      <c r="B85" s="42" t="s">
        <v>1109</v>
      </c>
      <c r="C85" s="34"/>
      <c r="D85" s="26"/>
      <c r="E85" s="26"/>
      <c r="F85" s="26" t="s">
        <v>1601</v>
      </c>
      <c r="G85" s="3" t="s">
        <v>2047</v>
      </c>
      <c r="H85" s="43"/>
    </row>
    <row r="86" spans="1:8" ht="31.2">
      <c r="A86" s="19">
        <v>14</v>
      </c>
      <c r="B86" s="42" t="s">
        <v>1158</v>
      </c>
      <c r="C86" s="34"/>
      <c r="D86" s="26"/>
      <c r="E86" s="26"/>
      <c r="F86" s="26" t="s">
        <v>1602</v>
      </c>
      <c r="G86" s="3" t="s">
        <v>1484</v>
      </c>
      <c r="H86" s="44"/>
    </row>
    <row r="87" spans="1:8" ht="31.2">
      <c r="A87" s="19">
        <v>14</v>
      </c>
      <c r="B87" s="42" t="s">
        <v>121</v>
      </c>
      <c r="C87" s="34"/>
      <c r="D87" s="26"/>
      <c r="E87" s="26"/>
      <c r="F87" s="26" t="s">
        <v>1603</v>
      </c>
      <c r="G87" s="3" t="s">
        <v>2047</v>
      </c>
      <c r="H87" s="44"/>
    </row>
    <row r="88" spans="1:8" ht="31.2">
      <c r="A88" s="19">
        <v>16</v>
      </c>
      <c r="B88" s="26"/>
      <c r="C88" s="26"/>
      <c r="D88" s="26"/>
      <c r="E88" s="26"/>
      <c r="F88" s="26" t="s">
        <v>1157</v>
      </c>
      <c r="G88" s="3" t="s">
        <v>1484</v>
      </c>
      <c r="H88" s="26"/>
    </row>
    <row r="89" spans="1:8" ht="31.2">
      <c r="A89" s="19">
        <v>16</v>
      </c>
      <c r="B89" s="42" t="s">
        <v>1477</v>
      </c>
      <c r="C89" s="34"/>
      <c r="D89" s="26"/>
      <c r="E89" s="26"/>
      <c r="F89" s="26" t="s">
        <v>1622</v>
      </c>
      <c r="G89" s="3" t="s">
        <v>1788</v>
      </c>
      <c r="H89" s="26"/>
    </row>
    <row r="90" spans="1:8">
      <c r="A90" s="19">
        <v>16</v>
      </c>
      <c r="B90" s="42" t="s">
        <v>1154</v>
      </c>
      <c r="C90" s="34"/>
      <c r="D90" s="26"/>
      <c r="E90" s="26"/>
      <c r="F90" s="26" t="s">
        <v>1623</v>
      </c>
      <c r="G90" s="3" t="s">
        <v>1481</v>
      </c>
      <c r="H90" s="26"/>
    </row>
    <row r="91" spans="1:8" ht="31.2">
      <c r="A91" s="19">
        <v>16</v>
      </c>
      <c r="B91" s="42" t="s">
        <v>1109</v>
      </c>
      <c r="C91" s="34"/>
      <c r="D91" s="26"/>
      <c r="E91" s="26"/>
      <c r="F91" s="26" t="s">
        <v>1624</v>
      </c>
      <c r="G91" s="3" t="s">
        <v>2047</v>
      </c>
      <c r="H91" s="26"/>
    </row>
    <row r="92" spans="1:8" ht="31.2">
      <c r="A92" s="19">
        <v>16</v>
      </c>
      <c r="B92" s="42" t="s">
        <v>1158</v>
      </c>
      <c r="C92" s="34"/>
      <c r="D92" s="26"/>
      <c r="E92" s="26"/>
      <c r="F92" s="26" t="s">
        <v>1625</v>
      </c>
      <c r="G92" s="3" t="s">
        <v>1484</v>
      </c>
      <c r="H92" s="26"/>
    </row>
    <row r="93" spans="1:8" ht="31.2">
      <c r="A93" s="19">
        <v>16</v>
      </c>
      <c r="B93" s="42" t="s">
        <v>121</v>
      </c>
      <c r="C93" s="34"/>
      <c r="D93" s="26"/>
      <c r="E93" s="26"/>
      <c r="F93" s="26" t="s">
        <v>1626</v>
      </c>
      <c r="G93" s="3" t="s">
        <v>2047</v>
      </c>
      <c r="H93" s="26"/>
    </row>
  </sheetData>
  <mergeCells count="8">
    <mergeCell ref="A34:B34"/>
    <mergeCell ref="A44:D44"/>
    <mergeCell ref="A80:H80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0200-000000000000}">
      <formula1>"Tags Normal,Tags Reversed,Local"</formula1>
    </dataValidation>
    <dataValidation type="list" allowBlank="1" showInputMessage="1" showErrorMessage="1" sqref="B29 B31 B33 B35 B19:B21" xr:uid="{00000000-0002-0000-0200-000001000000}">
      <formula1>"Checked,Unchecked"</formula1>
    </dataValidation>
    <dataValidation type="list" allowBlank="1" showInputMessage="1" showErrorMessage="1" sqref="B25" xr:uid="{00000000-0002-0000-0200-000002000000}">
      <formula1>"N/A,Tags Normal,Tags Reversed,Direct Assignment"</formula1>
    </dataValidation>
    <dataValidation type="list" allowBlank="1" showInputMessage="1" showErrorMessage="1" sqref="B37" xr:uid="{00000000-0002-0000-0200-000003000000}">
      <formula1>"JSON,XML,CEF,LEEF,Key-Value Pairs,Delimited,Limited Structure"</formula1>
    </dataValidation>
    <dataValidation type="list" allowBlank="1" showInputMessage="1" showErrorMessage="1" sqref="B23:B24" xr:uid="{00000000-0002-0000-0200-000004000000}">
      <formula1>"N/A,Tags,Log Message Source"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92"/>
  <sheetViews>
    <sheetView topLeftCell="D78" workbookViewId="0">
      <selection activeCell="G90" sqref="G90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9</v>
      </c>
    </row>
    <row r="4" spans="1:8">
      <c r="A4" s="6" t="s">
        <v>10</v>
      </c>
      <c r="B4" s="7" t="s">
        <v>236</v>
      </c>
    </row>
    <row r="6" spans="1:8">
      <c r="A6" s="8" t="s">
        <v>12</v>
      </c>
      <c r="B6" s="9" t="s">
        <v>237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238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239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240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18.4">
      <c r="A41" s="8" t="s">
        <v>48</v>
      </c>
      <c r="B41" s="11" t="s">
        <v>241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55</v>
      </c>
      <c r="C46" s="47">
        <v>43595</v>
      </c>
      <c r="D46" s="15"/>
      <c r="E46" s="10"/>
      <c r="F46" s="10"/>
      <c r="G46" s="10"/>
    </row>
    <row r="47" spans="1:8">
      <c r="A47" s="46" t="s">
        <v>56</v>
      </c>
      <c r="B47" s="46" t="s">
        <v>57</v>
      </c>
      <c r="C47" s="48">
        <v>0.48457175925925899</v>
      </c>
      <c r="D47" s="15"/>
      <c r="E47" s="10"/>
      <c r="F47" s="10"/>
      <c r="G47" s="10"/>
    </row>
    <row r="48" spans="1:8">
      <c r="A48" s="46" t="s">
        <v>58</v>
      </c>
      <c r="B48" s="46" t="s">
        <v>210</v>
      </c>
      <c r="C48" s="67" t="s">
        <v>1437</v>
      </c>
      <c r="D48" s="18" t="s">
        <v>67</v>
      </c>
      <c r="E48" s="10"/>
      <c r="F48" s="10"/>
      <c r="G48" s="10"/>
    </row>
    <row r="49" spans="1:7" ht="31.2">
      <c r="A49" s="46" t="s">
        <v>60</v>
      </c>
      <c r="B49" s="46" t="s">
        <v>242</v>
      </c>
      <c r="C49" s="41" t="s">
        <v>62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46" t="s">
        <v>243</v>
      </c>
      <c r="C50" s="41" t="s">
        <v>244</v>
      </c>
      <c r="D50" s="18"/>
      <c r="E50" s="10"/>
      <c r="F50" s="10"/>
      <c r="G50" s="10"/>
    </row>
    <row r="51" spans="1:7" ht="31.2">
      <c r="A51" s="46" t="s">
        <v>68</v>
      </c>
      <c r="B51" s="46" t="s">
        <v>214</v>
      </c>
      <c r="C51" s="41" t="s">
        <v>70</v>
      </c>
      <c r="D51" s="45" t="s">
        <v>71</v>
      </c>
      <c r="E51" s="10"/>
      <c r="F51" s="10"/>
      <c r="G51" s="10"/>
    </row>
    <row r="52" spans="1:7">
      <c r="A52" s="46" t="s">
        <v>72</v>
      </c>
      <c r="B52" s="46" t="s">
        <v>215</v>
      </c>
      <c r="C52" s="41" t="s">
        <v>74</v>
      </c>
      <c r="D52" s="14"/>
      <c r="E52" s="10"/>
      <c r="F52" s="10"/>
      <c r="G52" s="10"/>
    </row>
    <row r="53" spans="1:7">
      <c r="A53" s="46" t="s">
        <v>75</v>
      </c>
      <c r="B53" s="46" t="s">
        <v>216</v>
      </c>
      <c r="C53" s="41">
        <v>1554039772</v>
      </c>
      <c r="D53" s="45"/>
      <c r="E53" s="10"/>
      <c r="F53" s="10"/>
      <c r="G53" s="10"/>
    </row>
    <row r="54" spans="1:7">
      <c r="A54" s="46" t="s">
        <v>77</v>
      </c>
      <c r="B54" s="46" t="s">
        <v>217</v>
      </c>
      <c r="C54" s="41" t="s">
        <v>245</v>
      </c>
      <c r="D54" s="49" t="s">
        <v>80</v>
      </c>
      <c r="E54" s="10"/>
      <c r="F54" s="10"/>
      <c r="G54" s="10"/>
    </row>
    <row r="55" spans="1:7">
      <c r="A55" s="46" t="s">
        <v>81</v>
      </c>
      <c r="B55" s="46" t="s">
        <v>219</v>
      </c>
      <c r="C55" s="41">
        <v>60660</v>
      </c>
      <c r="D55" s="49" t="s">
        <v>83</v>
      </c>
      <c r="E55" s="10"/>
      <c r="F55" s="10"/>
      <c r="G55" s="10"/>
    </row>
    <row r="56" spans="1:7">
      <c r="A56" s="4" t="s">
        <v>84</v>
      </c>
      <c r="B56" s="46"/>
      <c r="C56" s="5" t="s">
        <v>1161</v>
      </c>
      <c r="D56" s="49"/>
      <c r="E56" s="10"/>
      <c r="F56" s="10"/>
      <c r="G56" s="10"/>
    </row>
    <row r="57" spans="1:7">
      <c r="A57" s="4" t="s">
        <v>88</v>
      </c>
      <c r="B57" s="46"/>
      <c r="C57" s="5" t="s">
        <v>90</v>
      </c>
      <c r="D57" s="49"/>
      <c r="E57" s="10"/>
      <c r="F57" s="10"/>
      <c r="G57" s="10"/>
    </row>
    <row r="58" spans="1:7">
      <c r="A58" s="46" t="s">
        <v>91</v>
      </c>
      <c r="B58" s="46" t="s">
        <v>220</v>
      </c>
      <c r="C58" s="41" t="s">
        <v>246</v>
      </c>
      <c r="D58" s="49" t="s">
        <v>94</v>
      </c>
      <c r="E58" s="10"/>
      <c r="F58" s="10"/>
      <c r="G58" s="10"/>
    </row>
    <row r="59" spans="1:7">
      <c r="A59" s="46" t="s">
        <v>95</v>
      </c>
      <c r="B59" s="46" t="s">
        <v>222</v>
      </c>
      <c r="C59" s="41">
        <v>7878</v>
      </c>
      <c r="D59" s="49" t="s">
        <v>97</v>
      </c>
      <c r="E59" s="10"/>
      <c r="F59" s="10"/>
      <c r="G59" s="10"/>
    </row>
    <row r="60" spans="1:7">
      <c r="A60" s="4" t="s">
        <v>98</v>
      </c>
      <c r="B60" s="46"/>
      <c r="C60" s="5" t="s">
        <v>1075</v>
      </c>
      <c r="D60" s="49"/>
      <c r="E60" s="10"/>
      <c r="F60" s="10"/>
      <c r="G60" s="10"/>
    </row>
    <row r="61" spans="1:7">
      <c r="A61" s="4" t="s">
        <v>102</v>
      </c>
      <c r="B61" s="46"/>
      <c r="C61" s="5" t="s">
        <v>90</v>
      </c>
      <c r="D61" s="49"/>
      <c r="E61" s="10"/>
      <c r="F61" s="10"/>
      <c r="G61" s="10"/>
    </row>
    <row r="62" spans="1:7">
      <c r="A62" s="4" t="s">
        <v>113</v>
      </c>
      <c r="B62" s="46"/>
      <c r="C62" s="5">
        <v>1162</v>
      </c>
      <c r="D62" s="49"/>
      <c r="E62" s="10"/>
      <c r="F62" s="10"/>
      <c r="G62" s="10"/>
    </row>
    <row r="63" spans="1:7" ht="31.2">
      <c r="A63" s="46" t="s">
        <v>116</v>
      </c>
      <c r="B63" s="46" t="s">
        <v>247</v>
      </c>
      <c r="C63" s="41">
        <v>17</v>
      </c>
      <c r="D63" s="45" t="s">
        <v>118</v>
      </c>
      <c r="E63" s="10"/>
      <c r="F63" s="10"/>
      <c r="G63" s="10"/>
    </row>
    <row r="64" spans="1:7" ht="31.2">
      <c r="A64" s="4" t="s">
        <v>119</v>
      </c>
      <c r="B64" s="46"/>
      <c r="C64" s="5" t="s">
        <v>1109</v>
      </c>
      <c r="D64" s="19" t="s">
        <v>477</v>
      </c>
      <c r="E64" s="10"/>
      <c r="F64" s="10"/>
      <c r="G64" s="10"/>
    </row>
    <row r="65" spans="1:8">
      <c r="A65" s="4" t="s">
        <v>123</v>
      </c>
      <c r="B65" s="46"/>
      <c r="C65" s="5">
        <v>1</v>
      </c>
      <c r="D65" s="19"/>
      <c r="E65" s="10"/>
      <c r="F65" s="10"/>
      <c r="G65" s="10"/>
    </row>
    <row r="66" spans="1:8">
      <c r="A66" s="4" t="s">
        <v>125</v>
      </c>
      <c r="B66" s="46"/>
      <c r="C66" s="5" t="s">
        <v>1162</v>
      </c>
      <c r="D66" s="19" t="s">
        <v>128</v>
      </c>
      <c r="E66" s="10"/>
      <c r="F66" s="10"/>
      <c r="G66" s="10"/>
    </row>
    <row r="67" spans="1:8">
      <c r="A67" s="46" t="s">
        <v>129</v>
      </c>
      <c r="B67" s="46" t="s">
        <v>249</v>
      </c>
      <c r="C67" s="41" t="s">
        <v>250</v>
      </c>
      <c r="D67" s="45" t="s">
        <v>132</v>
      </c>
      <c r="E67" s="10"/>
      <c r="F67" s="10"/>
      <c r="G67" s="10"/>
    </row>
    <row r="68" spans="1:8" ht="31.2">
      <c r="A68" s="46" t="s">
        <v>133</v>
      </c>
      <c r="B68" s="46" t="s">
        <v>223</v>
      </c>
      <c r="C68" s="41" t="s">
        <v>138</v>
      </c>
      <c r="D68" s="45"/>
      <c r="E68" s="10"/>
      <c r="F68" s="10"/>
      <c r="G68" s="10"/>
    </row>
    <row r="69" spans="1:8">
      <c r="A69" s="46" t="s">
        <v>136</v>
      </c>
      <c r="B69" s="46" t="s">
        <v>224</v>
      </c>
      <c r="C69" s="41" t="s">
        <v>138</v>
      </c>
      <c r="D69" s="45"/>
      <c r="E69" s="10"/>
      <c r="F69" s="10"/>
      <c r="G69" s="10"/>
    </row>
    <row r="70" spans="1:8" ht="46.8">
      <c r="A70" s="46" t="s">
        <v>139</v>
      </c>
      <c r="B70" s="46" t="s">
        <v>225</v>
      </c>
      <c r="C70" s="41" t="s">
        <v>226</v>
      </c>
      <c r="D70" s="45"/>
      <c r="E70" s="10"/>
      <c r="F70" s="10"/>
      <c r="G70" s="10"/>
    </row>
    <row r="71" spans="1:8">
      <c r="A71" s="46" t="s">
        <v>162</v>
      </c>
      <c r="B71" s="46" t="s">
        <v>228</v>
      </c>
      <c r="C71" s="41">
        <v>22</v>
      </c>
      <c r="D71" s="14"/>
      <c r="E71" s="10"/>
      <c r="F71" s="10"/>
      <c r="G71" s="10"/>
    </row>
    <row r="72" spans="1:8" ht="31.2">
      <c r="A72" s="46" t="s">
        <v>164</v>
      </c>
      <c r="B72" s="46" t="s">
        <v>229</v>
      </c>
      <c r="C72" s="41">
        <v>5940</v>
      </c>
      <c r="D72" s="45" t="s">
        <v>166</v>
      </c>
      <c r="E72" s="10"/>
      <c r="F72" s="10"/>
      <c r="G72" s="10"/>
    </row>
    <row r="73" spans="1:8" ht="31.2">
      <c r="A73" s="46" t="s">
        <v>167</v>
      </c>
      <c r="B73" s="46" t="s">
        <v>230</v>
      </c>
      <c r="C73" s="41">
        <v>0</v>
      </c>
      <c r="D73" s="45" t="s">
        <v>169</v>
      </c>
      <c r="E73" s="10"/>
      <c r="F73" s="10"/>
      <c r="G73" s="10"/>
    </row>
    <row r="74" spans="1:8" ht="31.2">
      <c r="A74" s="46" t="s">
        <v>170</v>
      </c>
      <c r="B74" s="46" t="s">
        <v>231</v>
      </c>
      <c r="C74" s="41">
        <v>11</v>
      </c>
      <c r="D74" s="45" t="s">
        <v>172</v>
      </c>
      <c r="E74" s="10"/>
      <c r="F74" s="10"/>
      <c r="G74" s="10"/>
    </row>
    <row r="75" spans="1:8" ht="31.2">
      <c r="A75" s="46" t="s">
        <v>173</v>
      </c>
      <c r="B75" s="46" t="s">
        <v>232</v>
      </c>
      <c r="C75" s="41">
        <v>0</v>
      </c>
      <c r="D75" s="45" t="s">
        <v>175</v>
      </c>
      <c r="E75" s="10"/>
      <c r="F75" s="10"/>
      <c r="G75" s="10"/>
    </row>
    <row r="76" spans="1:8" ht="46.8">
      <c r="A76" s="46" t="s">
        <v>153</v>
      </c>
      <c r="B76" s="46" t="s">
        <v>248</v>
      </c>
      <c r="C76" s="41" t="s">
        <v>235</v>
      </c>
      <c r="D76" s="45" t="s">
        <v>302</v>
      </c>
      <c r="E76" s="10"/>
      <c r="F76" s="10"/>
      <c r="G76" s="10"/>
    </row>
    <row r="77" spans="1:8">
      <c r="A77" s="13"/>
      <c r="B77" s="10"/>
      <c r="C77" s="10"/>
      <c r="D77" s="10"/>
      <c r="E77" s="10"/>
      <c r="F77" s="10"/>
      <c r="G77" s="10"/>
      <c r="H77" s="10"/>
    </row>
    <row r="78" spans="1:8">
      <c r="A78" s="13"/>
      <c r="B78" s="10"/>
      <c r="C78" s="10"/>
      <c r="D78" s="10"/>
      <c r="E78" s="10"/>
      <c r="F78" s="10"/>
      <c r="G78" s="10"/>
      <c r="H78" s="10"/>
    </row>
    <row r="79" spans="1:8">
      <c r="A79" s="113" t="s">
        <v>196</v>
      </c>
      <c r="B79" s="113"/>
      <c r="C79" s="113"/>
      <c r="D79" s="113"/>
      <c r="E79" s="113"/>
      <c r="F79" s="113"/>
      <c r="G79" s="113"/>
      <c r="H79" s="113"/>
    </row>
    <row r="80" spans="1:8">
      <c r="A80" s="14" t="s">
        <v>1432</v>
      </c>
      <c r="B80" s="14" t="s">
        <v>197</v>
      </c>
      <c r="C80" s="14" t="s">
        <v>198</v>
      </c>
      <c r="D80" s="14" t="s">
        <v>199</v>
      </c>
      <c r="E80" s="14" t="s">
        <v>200</v>
      </c>
      <c r="F80" s="14" t="s">
        <v>202</v>
      </c>
      <c r="G80" s="14" t="s">
        <v>21</v>
      </c>
      <c r="H80" s="14" t="s">
        <v>203</v>
      </c>
    </row>
    <row r="81" spans="1:8" ht="31.2">
      <c r="A81" s="45">
        <v>19</v>
      </c>
      <c r="B81" s="26"/>
      <c r="C81" s="26"/>
      <c r="D81" s="45"/>
      <c r="E81" s="45"/>
      <c r="F81" s="7" t="s">
        <v>1627</v>
      </c>
      <c r="G81" s="4" t="s">
        <v>207</v>
      </c>
      <c r="H81" s="46"/>
    </row>
    <row r="82" spans="1:8" ht="31.2">
      <c r="A82" s="45">
        <v>19</v>
      </c>
      <c r="B82" s="42" t="s">
        <v>1477</v>
      </c>
      <c r="C82" s="34"/>
      <c r="D82" s="34"/>
      <c r="E82" s="34"/>
      <c r="F82" s="34" t="s">
        <v>1628</v>
      </c>
      <c r="G82" s="3" t="s">
        <v>1788</v>
      </c>
      <c r="H82" s="34"/>
    </row>
    <row r="83" spans="1:8">
      <c r="A83" s="45">
        <v>19</v>
      </c>
      <c r="B83" s="42" t="s">
        <v>1154</v>
      </c>
      <c r="C83" s="34"/>
      <c r="D83" s="34"/>
      <c r="E83" s="34"/>
      <c r="F83" s="34" t="s">
        <v>1629</v>
      </c>
      <c r="G83" s="3" t="s">
        <v>1481</v>
      </c>
      <c r="H83" s="34"/>
    </row>
    <row r="84" spans="1:8" ht="31.2">
      <c r="A84" s="45">
        <v>19</v>
      </c>
      <c r="B84" s="42" t="s">
        <v>1109</v>
      </c>
      <c r="C84" s="34"/>
      <c r="D84" s="26"/>
      <c r="E84" s="26"/>
      <c r="F84" s="26" t="s">
        <v>1630</v>
      </c>
      <c r="G84" s="3" t="s">
        <v>2047</v>
      </c>
      <c r="H84" s="26"/>
    </row>
    <row r="85" spans="1:8" ht="31.2">
      <c r="A85" s="45">
        <v>19</v>
      </c>
      <c r="B85" s="42" t="s">
        <v>1158</v>
      </c>
      <c r="C85" s="34"/>
      <c r="D85" s="26"/>
      <c r="E85" s="26"/>
      <c r="F85" s="26" t="s">
        <v>1631</v>
      </c>
      <c r="G85" s="3" t="s">
        <v>1484</v>
      </c>
      <c r="H85" s="26"/>
    </row>
    <row r="86" spans="1:8" ht="31.2">
      <c r="A86" s="45">
        <v>19</v>
      </c>
      <c r="B86" s="42" t="s">
        <v>121</v>
      </c>
      <c r="C86" s="34"/>
      <c r="D86" s="26"/>
      <c r="E86" s="26"/>
      <c r="F86" s="26" t="s">
        <v>1632</v>
      </c>
      <c r="G86" s="3" t="s">
        <v>2047</v>
      </c>
      <c r="H86" s="26"/>
    </row>
    <row r="87" spans="1:8" ht="31.2">
      <c r="A87" s="19">
        <v>12</v>
      </c>
      <c r="B87" s="26"/>
      <c r="C87" s="26"/>
      <c r="D87" s="26"/>
      <c r="E87" s="26"/>
      <c r="F87" s="7" t="s">
        <v>1638</v>
      </c>
      <c r="G87" s="4" t="s">
        <v>207</v>
      </c>
      <c r="H87" s="26"/>
    </row>
    <row r="88" spans="1:8" ht="31.2">
      <c r="A88" s="19">
        <v>12</v>
      </c>
      <c r="B88" s="42" t="s">
        <v>1477</v>
      </c>
      <c r="C88" s="34"/>
      <c r="D88" s="26"/>
      <c r="E88" s="26"/>
      <c r="F88" s="26" t="s">
        <v>1633</v>
      </c>
      <c r="G88" s="3" t="s">
        <v>1788</v>
      </c>
      <c r="H88" s="26"/>
    </row>
    <row r="89" spans="1:8">
      <c r="A89" s="19">
        <v>12</v>
      </c>
      <c r="B89" s="42" t="s">
        <v>1154</v>
      </c>
      <c r="C89" s="34"/>
      <c r="D89" s="26"/>
      <c r="E89" s="26"/>
      <c r="F89" s="26" t="s">
        <v>1634</v>
      </c>
      <c r="G89" s="3" t="s">
        <v>1481</v>
      </c>
      <c r="H89" s="26"/>
    </row>
    <row r="90" spans="1:8" ht="31.2">
      <c r="A90" s="19">
        <v>12</v>
      </c>
      <c r="B90" s="42" t="s">
        <v>1109</v>
      </c>
      <c r="C90" s="34"/>
      <c r="D90" s="26"/>
      <c r="E90" s="26"/>
      <c r="F90" s="26" t="s">
        <v>1635</v>
      </c>
      <c r="G90" s="3" t="s">
        <v>2047</v>
      </c>
      <c r="H90" s="26"/>
    </row>
    <row r="91" spans="1:8" ht="31.2">
      <c r="A91" s="19">
        <v>12</v>
      </c>
      <c r="B91" s="42" t="s">
        <v>1158</v>
      </c>
      <c r="C91" s="34"/>
      <c r="D91" s="26"/>
      <c r="E91" s="26"/>
      <c r="F91" s="26" t="s">
        <v>1636</v>
      </c>
      <c r="G91" s="3" t="s">
        <v>1484</v>
      </c>
      <c r="H91" s="26"/>
    </row>
    <row r="92" spans="1:8" ht="31.2">
      <c r="A92" s="19">
        <v>12</v>
      </c>
      <c r="B92" s="42" t="s">
        <v>121</v>
      </c>
      <c r="C92" s="34"/>
      <c r="D92" s="26"/>
      <c r="E92" s="26"/>
      <c r="F92" s="26" t="s">
        <v>1637</v>
      </c>
      <c r="G92" s="3" t="s">
        <v>2047</v>
      </c>
      <c r="H92" s="26"/>
    </row>
  </sheetData>
  <mergeCells count="8">
    <mergeCell ref="A34:B34"/>
    <mergeCell ref="A44:D44"/>
    <mergeCell ref="A79:H79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0300-000000000000}">
      <formula1>"Tags Normal,Tags Reversed,Local"</formula1>
    </dataValidation>
    <dataValidation type="list" allowBlank="1" showInputMessage="1" showErrorMessage="1" sqref="B29 B31 B33 B35 B19:B21" xr:uid="{00000000-0002-0000-0300-000001000000}">
      <formula1>"Checked,Unchecked"</formula1>
    </dataValidation>
    <dataValidation type="list" allowBlank="1" showInputMessage="1" showErrorMessage="1" sqref="B25" xr:uid="{00000000-0002-0000-0300-000002000000}">
      <formula1>"N/A,Tags Normal,Tags Reversed,Direct Assignment"</formula1>
    </dataValidation>
    <dataValidation type="list" allowBlank="1" showInputMessage="1" showErrorMessage="1" sqref="B37" xr:uid="{00000000-0002-0000-0300-000003000000}">
      <formula1>"JSON,XML,CEF,LEEF,Key-Value Pairs,Delimited,Limited Structure"</formula1>
    </dataValidation>
    <dataValidation type="list" allowBlank="1" showInputMessage="1" showErrorMessage="1" sqref="B23:B24" xr:uid="{00000000-0002-0000-0300-000004000000}">
      <formula1>"N/A,Tags,Log Message Source"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108"/>
  <sheetViews>
    <sheetView tabSelected="1" topLeftCell="D85" workbookViewId="0">
      <selection activeCell="G94" sqref="G94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9</v>
      </c>
    </row>
    <row r="4" spans="1:8">
      <c r="A4" s="6" t="s">
        <v>10</v>
      </c>
      <c r="B4" s="7" t="s">
        <v>251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252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254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65.2">
      <c r="A41" s="8" t="s">
        <v>48</v>
      </c>
      <c r="B41" s="11" t="s">
        <v>1107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55</v>
      </c>
      <c r="C46" s="47">
        <v>43595</v>
      </c>
      <c r="D46" s="15"/>
      <c r="E46" s="10"/>
      <c r="F46" s="10"/>
      <c r="G46" s="10"/>
    </row>
    <row r="47" spans="1:8">
      <c r="A47" s="46" t="s">
        <v>56</v>
      </c>
      <c r="B47" s="46" t="s">
        <v>57</v>
      </c>
      <c r="C47" s="48">
        <v>0.48457175925925899</v>
      </c>
      <c r="D47" s="15"/>
      <c r="E47" s="10"/>
      <c r="F47" s="10"/>
      <c r="G47" s="10"/>
    </row>
    <row r="48" spans="1:8">
      <c r="A48" s="46" t="s">
        <v>58</v>
      </c>
      <c r="B48" s="46" t="s">
        <v>210</v>
      </c>
      <c r="C48" s="67" t="s">
        <v>1438</v>
      </c>
      <c r="D48" s="18" t="s">
        <v>67</v>
      </c>
      <c r="E48" s="10"/>
      <c r="F48" s="10"/>
      <c r="G48" s="10"/>
    </row>
    <row r="49" spans="1:7" ht="31.2">
      <c r="A49" s="46" t="s">
        <v>60</v>
      </c>
      <c r="B49" s="46" t="s">
        <v>255</v>
      </c>
      <c r="C49" s="41" t="s">
        <v>62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46" t="s">
        <v>256</v>
      </c>
      <c r="C50" s="41" t="s">
        <v>257</v>
      </c>
      <c r="D50" s="18"/>
      <c r="E50" s="10"/>
      <c r="F50" s="10"/>
      <c r="G50" s="10"/>
    </row>
    <row r="51" spans="1:7" ht="31.2">
      <c r="A51" s="46" t="s">
        <v>68</v>
      </c>
      <c r="B51" s="46" t="s">
        <v>214</v>
      </c>
      <c r="C51" s="41" t="s">
        <v>70</v>
      </c>
      <c r="D51" s="45" t="s">
        <v>71</v>
      </c>
      <c r="E51" s="10"/>
      <c r="F51" s="10"/>
      <c r="G51" s="10"/>
    </row>
    <row r="52" spans="1:7">
      <c r="A52" s="46" t="s">
        <v>72</v>
      </c>
      <c r="B52" s="46" t="s">
        <v>215</v>
      </c>
      <c r="C52" s="41" t="s">
        <v>258</v>
      </c>
      <c r="D52" s="14"/>
      <c r="E52" s="10"/>
      <c r="F52" s="10"/>
      <c r="G52" s="10"/>
    </row>
    <row r="53" spans="1:7">
      <c r="A53" s="46" t="s">
        <v>75</v>
      </c>
      <c r="B53" s="46" t="s">
        <v>216</v>
      </c>
      <c r="C53" s="41">
        <v>1.5575231340210401E+18</v>
      </c>
      <c r="D53" s="45"/>
      <c r="E53" s="10"/>
      <c r="F53" s="10"/>
      <c r="G53" s="10"/>
    </row>
    <row r="54" spans="1:7">
      <c r="A54" s="46" t="s">
        <v>77</v>
      </c>
      <c r="B54" s="46" t="s">
        <v>217</v>
      </c>
      <c r="C54" s="41" t="s">
        <v>259</v>
      </c>
      <c r="D54" s="45" t="s">
        <v>80</v>
      </c>
      <c r="E54" s="10"/>
      <c r="F54" s="10"/>
      <c r="G54" s="10"/>
    </row>
    <row r="55" spans="1:7">
      <c r="A55" s="46" t="s">
        <v>81</v>
      </c>
      <c r="B55" s="46" t="s">
        <v>219</v>
      </c>
      <c r="C55" s="41">
        <v>50463</v>
      </c>
      <c r="D55" s="49" t="s">
        <v>83</v>
      </c>
      <c r="E55" s="10"/>
      <c r="F55" s="10"/>
      <c r="G55" s="10"/>
    </row>
    <row r="56" spans="1:7">
      <c r="A56" s="34" t="s">
        <v>84</v>
      </c>
      <c r="B56" s="46"/>
      <c r="C56" s="41" t="s">
        <v>1108</v>
      </c>
      <c r="D56" s="49"/>
      <c r="E56" s="10"/>
      <c r="F56" s="10"/>
      <c r="G56" s="10"/>
    </row>
    <row r="57" spans="1:7">
      <c r="A57" s="34" t="s">
        <v>88</v>
      </c>
      <c r="B57" s="46"/>
      <c r="C57" s="41" t="s">
        <v>90</v>
      </c>
      <c r="D57" s="49"/>
      <c r="E57" s="10"/>
      <c r="F57" s="10"/>
      <c r="G57" s="10"/>
    </row>
    <row r="58" spans="1:7">
      <c r="A58" s="46" t="s">
        <v>91</v>
      </c>
      <c r="B58" s="46" t="s">
        <v>220</v>
      </c>
      <c r="C58" s="41" t="s">
        <v>260</v>
      </c>
      <c r="D58" s="49" t="s">
        <v>94</v>
      </c>
      <c r="E58" s="10"/>
      <c r="F58" s="10"/>
      <c r="G58" s="10"/>
    </row>
    <row r="59" spans="1:7">
      <c r="A59" s="46" t="s">
        <v>95</v>
      </c>
      <c r="B59" s="46" t="s">
        <v>222</v>
      </c>
      <c r="C59" s="41">
        <v>443</v>
      </c>
      <c r="D59" s="49" t="s">
        <v>97</v>
      </c>
      <c r="E59" s="10"/>
      <c r="F59" s="10"/>
      <c r="G59" s="10"/>
    </row>
    <row r="60" spans="1:7">
      <c r="A60" s="34" t="s">
        <v>98</v>
      </c>
      <c r="B60" s="46"/>
      <c r="C60" s="41" t="s">
        <v>1108</v>
      </c>
      <c r="D60" s="49"/>
      <c r="E60" s="10"/>
      <c r="F60" s="10"/>
      <c r="G60" s="10"/>
    </row>
    <row r="61" spans="1:7">
      <c r="A61" s="34" t="s">
        <v>102</v>
      </c>
      <c r="B61" s="46"/>
      <c r="C61" s="41" t="s">
        <v>90</v>
      </c>
      <c r="D61" s="49"/>
      <c r="E61" s="10"/>
      <c r="F61" s="10"/>
      <c r="G61" s="10"/>
    </row>
    <row r="62" spans="1:7">
      <c r="A62" s="34" t="s">
        <v>113</v>
      </c>
      <c r="B62" s="46"/>
      <c r="C62" s="41">
        <v>2193276</v>
      </c>
      <c r="D62" s="1" t="s">
        <v>115</v>
      </c>
      <c r="E62" s="10"/>
      <c r="F62" s="10"/>
      <c r="G62" s="10"/>
    </row>
    <row r="63" spans="1:7">
      <c r="A63" s="34" t="s">
        <v>116</v>
      </c>
      <c r="B63" s="46"/>
      <c r="C63" s="41">
        <v>6</v>
      </c>
      <c r="D63" s="49"/>
      <c r="E63" s="10"/>
      <c r="F63" s="10"/>
      <c r="G63" s="10"/>
    </row>
    <row r="64" spans="1:7" ht="31.2">
      <c r="A64" s="34" t="s">
        <v>119</v>
      </c>
      <c r="B64" s="46"/>
      <c r="C64" s="41" t="s">
        <v>1109</v>
      </c>
      <c r="D64" s="1" t="s">
        <v>477</v>
      </c>
      <c r="E64" s="10"/>
      <c r="F64" s="10"/>
      <c r="G64" s="10"/>
    </row>
    <row r="65" spans="1:7">
      <c r="A65" s="34" t="s">
        <v>123</v>
      </c>
      <c r="B65" s="46"/>
      <c r="C65" s="41">
        <v>3</v>
      </c>
      <c r="D65" s="49"/>
      <c r="E65" s="10"/>
      <c r="F65" s="10"/>
      <c r="G65" s="10"/>
    </row>
    <row r="66" spans="1:7">
      <c r="A66" s="34" t="s">
        <v>125</v>
      </c>
      <c r="B66" s="46"/>
      <c r="C66" s="41" t="s">
        <v>257</v>
      </c>
      <c r="D66" s="1" t="s">
        <v>128</v>
      </c>
      <c r="E66" s="10"/>
      <c r="F66" s="10"/>
      <c r="G66" s="10"/>
    </row>
    <row r="67" spans="1:7">
      <c r="A67" s="34" t="s">
        <v>129</v>
      </c>
      <c r="B67" s="46"/>
      <c r="C67" s="41" t="s">
        <v>266</v>
      </c>
      <c r="D67" s="49"/>
      <c r="E67" s="10"/>
      <c r="F67" s="10"/>
      <c r="G67" s="10"/>
    </row>
    <row r="68" spans="1:7" ht="31.2">
      <c r="A68" s="46" t="s">
        <v>133</v>
      </c>
      <c r="B68" s="46" t="s">
        <v>223</v>
      </c>
      <c r="C68" s="41" t="s">
        <v>261</v>
      </c>
      <c r="D68" s="14"/>
      <c r="E68" s="10"/>
      <c r="F68" s="10"/>
      <c r="G68" s="10"/>
    </row>
    <row r="69" spans="1:7">
      <c r="A69" s="46" t="s">
        <v>136</v>
      </c>
      <c r="B69" s="46" t="s">
        <v>224</v>
      </c>
      <c r="C69" s="41" t="s">
        <v>135</v>
      </c>
      <c r="D69" s="14"/>
      <c r="E69" s="10"/>
      <c r="F69" s="10"/>
      <c r="G69" s="10"/>
    </row>
    <row r="70" spans="1:7" ht="46.8">
      <c r="A70" s="46" t="s">
        <v>139</v>
      </c>
      <c r="B70" s="46" t="s">
        <v>262</v>
      </c>
      <c r="C70" s="41" t="s">
        <v>141</v>
      </c>
      <c r="D70" s="14"/>
      <c r="E70" s="10"/>
      <c r="F70" s="10"/>
      <c r="G70" s="10"/>
    </row>
    <row r="71" spans="1:7" ht="31.2">
      <c r="A71" s="46" t="s">
        <v>142</v>
      </c>
      <c r="B71" s="46" t="s">
        <v>263</v>
      </c>
      <c r="C71" s="41" t="s">
        <v>264</v>
      </c>
      <c r="D71" s="45" t="s">
        <v>145</v>
      </c>
      <c r="E71" s="10"/>
      <c r="F71" s="10"/>
      <c r="G71" s="10"/>
    </row>
    <row r="72" spans="1:7" ht="46.8">
      <c r="A72" s="46" t="s">
        <v>146</v>
      </c>
      <c r="B72" s="46" t="s">
        <v>265</v>
      </c>
      <c r="C72" s="41">
        <v>0</v>
      </c>
      <c r="D72" s="45" t="s">
        <v>1101</v>
      </c>
      <c r="E72" s="10"/>
      <c r="F72" s="10"/>
      <c r="G72" s="10"/>
    </row>
    <row r="73" spans="1:7">
      <c r="A73" s="46" t="s">
        <v>162</v>
      </c>
      <c r="B73" s="46" t="s">
        <v>228</v>
      </c>
      <c r="C73" s="41">
        <v>10</v>
      </c>
      <c r="D73" s="14"/>
      <c r="E73" s="10"/>
      <c r="F73" s="10"/>
      <c r="G73" s="10"/>
    </row>
    <row r="74" spans="1:7" ht="31.2">
      <c r="A74" s="46" t="s">
        <v>164</v>
      </c>
      <c r="B74" s="46" t="s">
        <v>229</v>
      </c>
      <c r="C74" s="41">
        <v>0</v>
      </c>
      <c r="D74" s="45" t="s">
        <v>166</v>
      </c>
      <c r="E74" s="10"/>
      <c r="F74" s="10"/>
      <c r="G74" s="10"/>
    </row>
    <row r="75" spans="1:7" ht="31.2">
      <c r="A75" s="46" t="s">
        <v>167</v>
      </c>
      <c r="B75" s="46" t="s">
        <v>230</v>
      </c>
      <c r="C75" s="41">
        <v>0</v>
      </c>
      <c r="D75" s="45" t="s">
        <v>169</v>
      </c>
      <c r="E75" s="10"/>
      <c r="F75" s="10"/>
      <c r="G75" s="10"/>
    </row>
    <row r="76" spans="1:7" ht="31.2">
      <c r="A76" s="46" t="s">
        <v>170</v>
      </c>
      <c r="B76" s="46" t="s">
        <v>231</v>
      </c>
      <c r="C76" s="41">
        <v>0</v>
      </c>
      <c r="D76" s="45" t="s">
        <v>172</v>
      </c>
      <c r="E76" s="10"/>
      <c r="F76" s="10"/>
      <c r="G76" s="10"/>
    </row>
    <row r="77" spans="1:7" ht="31.2">
      <c r="A77" s="46" t="s">
        <v>173</v>
      </c>
      <c r="B77" s="46" t="s">
        <v>232</v>
      </c>
      <c r="C77" s="41">
        <v>0</v>
      </c>
      <c r="D77" s="45" t="s">
        <v>175</v>
      </c>
      <c r="E77" s="10"/>
      <c r="F77" s="10"/>
      <c r="G77" s="10"/>
    </row>
    <row r="78" spans="1:7" ht="46.8">
      <c r="A78" s="46" t="s">
        <v>153</v>
      </c>
      <c r="B78" s="46" t="s">
        <v>248</v>
      </c>
      <c r="C78" s="41" t="s">
        <v>235</v>
      </c>
      <c r="D78" s="45" t="s">
        <v>302</v>
      </c>
      <c r="E78" s="10"/>
      <c r="F78" s="10"/>
      <c r="G78" s="10"/>
    </row>
    <row r="79" spans="1:7">
      <c r="A79" s="46" t="s">
        <v>129</v>
      </c>
      <c r="B79" s="46" t="s">
        <v>249</v>
      </c>
      <c r="C79" s="41" t="s">
        <v>266</v>
      </c>
      <c r="D79" s="45" t="s">
        <v>132</v>
      </c>
      <c r="E79" s="10"/>
      <c r="F79" s="10"/>
      <c r="G79" s="10"/>
    </row>
    <row r="80" spans="1:7" ht="31.2">
      <c r="A80" s="46" t="s">
        <v>176</v>
      </c>
      <c r="B80" s="46" t="s">
        <v>267</v>
      </c>
      <c r="C80" s="41" t="s">
        <v>178</v>
      </c>
      <c r="D80" s="19" t="s">
        <v>1431</v>
      </c>
      <c r="E80" s="10"/>
      <c r="F80" s="10"/>
      <c r="G80" s="10"/>
    </row>
    <row r="81" spans="1:8" ht="31.2">
      <c r="A81" s="46" t="s">
        <v>268</v>
      </c>
      <c r="B81" s="46" t="s">
        <v>269</v>
      </c>
      <c r="C81" s="41">
        <v>1</v>
      </c>
      <c r="D81" s="45" t="s">
        <v>1102</v>
      </c>
      <c r="E81" s="10"/>
      <c r="F81" s="10"/>
      <c r="G81" s="10"/>
    </row>
    <row r="82" spans="1:8">
      <c r="A82" s="46" t="s">
        <v>270</v>
      </c>
      <c r="B82" s="46" t="s">
        <v>271</v>
      </c>
      <c r="C82" s="41">
        <v>5</v>
      </c>
      <c r="D82" s="14"/>
      <c r="E82" s="10"/>
      <c r="F82" s="10"/>
      <c r="G82" s="10"/>
    </row>
    <row r="83" spans="1:8" ht="31.2">
      <c r="A83" s="46" t="s">
        <v>272</v>
      </c>
      <c r="B83" s="46" t="s">
        <v>273</v>
      </c>
      <c r="C83" s="41">
        <v>32768</v>
      </c>
      <c r="D83" s="14"/>
      <c r="E83" s="10"/>
      <c r="F83" s="10"/>
      <c r="G83" s="10"/>
    </row>
    <row r="84" spans="1:8" ht="31.2">
      <c r="A84" s="46" t="s">
        <v>274</v>
      </c>
      <c r="B84" s="46" t="s">
        <v>275</v>
      </c>
      <c r="C84" s="41">
        <v>0</v>
      </c>
      <c r="D84" s="14"/>
      <c r="E84" s="10"/>
      <c r="F84" s="10"/>
      <c r="G84" s="10"/>
    </row>
    <row r="85" spans="1:8" ht="31.2">
      <c r="A85" s="46" t="s">
        <v>276</v>
      </c>
      <c r="B85" s="46" t="s">
        <v>277</v>
      </c>
      <c r="C85" s="41">
        <v>0</v>
      </c>
      <c r="D85" s="14"/>
      <c r="E85" s="10"/>
      <c r="F85" s="10"/>
      <c r="G85" s="10"/>
    </row>
    <row r="86" spans="1:8" ht="31.2">
      <c r="A86" s="46" t="s">
        <v>193</v>
      </c>
      <c r="B86" s="46" t="s">
        <v>278</v>
      </c>
      <c r="C86" s="41" t="s">
        <v>279</v>
      </c>
      <c r="D86" s="14"/>
      <c r="E86" s="10"/>
      <c r="F86" s="10"/>
      <c r="G86" s="10"/>
    </row>
    <row r="87" spans="1:8">
      <c r="A87" s="13"/>
      <c r="B87" s="10"/>
      <c r="C87" s="10"/>
      <c r="D87" s="10"/>
      <c r="E87" s="10"/>
      <c r="F87" s="10"/>
      <c r="G87" s="10"/>
      <c r="H87" s="10"/>
    </row>
    <row r="88" spans="1:8">
      <c r="A88" s="13"/>
      <c r="B88" s="10"/>
      <c r="C88" s="10"/>
      <c r="D88" s="10"/>
      <c r="E88" s="10"/>
      <c r="F88" s="10"/>
      <c r="G88" s="10"/>
      <c r="H88" s="10"/>
    </row>
    <row r="89" spans="1:8">
      <c r="A89" s="113" t="s">
        <v>196</v>
      </c>
      <c r="B89" s="113"/>
      <c r="C89" s="113"/>
      <c r="D89" s="113"/>
      <c r="E89" s="113"/>
      <c r="F89" s="113"/>
      <c r="G89" s="113"/>
      <c r="H89" s="113"/>
    </row>
    <row r="90" spans="1:8">
      <c r="A90" s="14" t="s">
        <v>1432</v>
      </c>
      <c r="B90" s="14" t="s">
        <v>197</v>
      </c>
      <c r="C90" s="14" t="s">
        <v>198</v>
      </c>
      <c r="D90" s="14" t="s">
        <v>199</v>
      </c>
      <c r="E90" s="14" t="s">
        <v>200</v>
      </c>
      <c r="F90" s="14" t="s">
        <v>202</v>
      </c>
      <c r="G90" s="14" t="s">
        <v>21</v>
      </c>
      <c r="H90" s="14" t="s">
        <v>203</v>
      </c>
    </row>
    <row r="91" spans="1:8" ht="31.2">
      <c r="A91" s="19">
        <v>17</v>
      </c>
      <c r="B91" s="26"/>
      <c r="C91" s="26"/>
      <c r="D91" s="26"/>
      <c r="E91" s="26"/>
      <c r="F91" s="7" t="s">
        <v>1604</v>
      </c>
      <c r="G91" s="4" t="s">
        <v>207</v>
      </c>
      <c r="H91" s="46"/>
    </row>
    <row r="92" spans="1:8" ht="31.2">
      <c r="A92" s="19">
        <v>17</v>
      </c>
      <c r="B92" s="42" t="s">
        <v>1477</v>
      </c>
      <c r="C92" s="34"/>
      <c r="D92" s="26"/>
      <c r="E92" s="26"/>
      <c r="F92" s="26" t="s">
        <v>1605</v>
      </c>
      <c r="G92" s="3" t="s">
        <v>1788</v>
      </c>
      <c r="H92" s="34"/>
    </row>
    <row r="93" spans="1:8">
      <c r="A93" s="19">
        <v>17</v>
      </c>
      <c r="B93" s="42" t="s">
        <v>1154</v>
      </c>
      <c r="C93" s="34"/>
      <c r="D93" s="26"/>
      <c r="E93" s="26"/>
      <c r="F93" s="26" t="s">
        <v>1606</v>
      </c>
      <c r="G93" s="4" t="s">
        <v>1481</v>
      </c>
      <c r="H93" s="34"/>
    </row>
    <row r="94" spans="1:8" ht="31.2">
      <c r="A94" s="19">
        <v>17</v>
      </c>
      <c r="B94" s="42" t="s">
        <v>1109</v>
      </c>
      <c r="C94" s="34"/>
      <c r="D94" s="26"/>
      <c r="E94" s="26"/>
      <c r="F94" s="26" t="s">
        <v>1607</v>
      </c>
      <c r="G94" s="3" t="s">
        <v>2047</v>
      </c>
      <c r="H94" s="34"/>
    </row>
    <row r="95" spans="1:8" ht="31.2">
      <c r="A95" s="19">
        <v>17</v>
      </c>
      <c r="B95" s="42" t="s">
        <v>1158</v>
      </c>
      <c r="C95" s="34"/>
      <c r="D95" s="26"/>
      <c r="E95" s="26"/>
      <c r="F95" s="26" t="s">
        <v>1608</v>
      </c>
      <c r="G95" s="4" t="s">
        <v>1484</v>
      </c>
      <c r="H95" s="26"/>
    </row>
    <row r="96" spans="1:8" ht="31.2">
      <c r="A96" s="19">
        <v>17</v>
      </c>
      <c r="B96" s="42" t="s">
        <v>121</v>
      </c>
      <c r="C96" s="34"/>
      <c r="D96" s="26"/>
      <c r="E96" s="26"/>
      <c r="F96" s="26" t="s">
        <v>1609</v>
      </c>
      <c r="G96" s="3" t="s">
        <v>2047</v>
      </c>
      <c r="H96" s="26"/>
    </row>
    <row r="97" spans="1:8" ht="31.2">
      <c r="A97" s="19">
        <v>17</v>
      </c>
      <c r="B97" s="42"/>
      <c r="C97" s="76" t="s">
        <v>1030</v>
      </c>
      <c r="D97" s="26"/>
      <c r="E97" s="26"/>
      <c r="F97" s="26" t="s">
        <v>1610</v>
      </c>
      <c r="G97" s="3" t="s">
        <v>1788</v>
      </c>
      <c r="H97" s="26"/>
    </row>
    <row r="98" spans="1:8" ht="31.2">
      <c r="A98" s="19">
        <v>17</v>
      </c>
      <c r="B98" s="42"/>
      <c r="C98" s="76" t="s">
        <v>1155</v>
      </c>
      <c r="D98" s="26"/>
      <c r="E98" s="26"/>
      <c r="F98" s="26" t="s">
        <v>1611</v>
      </c>
      <c r="G98" s="4" t="s">
        <v>1156</v>
      </c>
      <c r="H98" s="26"/>
    </row>
    <row r="99" spans="1:8" ht="31.2">
      <c r="A99" s="19">
        <v>17</v>
      </c>
      <c r="B99" s="42"/>
      <c r="C99" s="76" t="s">
        <v>178</v>
      </c>
      <c r="D99" s="26"/>
      <c r="E99" s="26"/>
      <c r="F99" s="26" t="s">
        <v>1612</v>
      </c>
      <c r="G99" s="3" t="s">
        <v>2047</v>
      </c>
      <c r="H99" s="26"/>
    </row>
    <row r="100" spans="1:8" ht="31.2">
      <c r="A100" s="19">
        <v>21</v>
      </c>
      <c r="B100" s="14"/>
      <c r="C100" s="14"/>
      <c r="D100" s="26"/>
      <c r="E100" s="26"/>
      <c r="F100" s="26" t="s">
        <v>1639</v>
      </c>
      <c r="G100" s="4" t="s">
        <v>207</v>
      </c>
      <c r="H100" s="26"/>
    </row>
    <row r="101" spans="1:8" ht="31.2">
      <c r="A101" s="19">
        <v>21</v>
      </c>
      <c r="B101" s="42" t="s">
        <v>1477</v>
      </c>
      <c r="C101" s="34"/>
      <c r="D101" s="26"/>
      <c r="E101" s="26"/>
      <c r="F101" s="26" t="s">
        <v>1640</v>
      </c>
      <c r="G101" s="3" t="s">
        <v>1788</v>
      </c>
      <c r="H101" s="26"/>
    </row>
    <row r="102" spans="1:8">
      <c r="A102" s="19">
        <v>21</v>
      </c>
      <c r="B102" s="42" t="s">
        <v>1154</v>
      </c>
      <c r="C102" s="34"/>
      <c r="D102" s="26"/>
      <c r="E102" s="26"/>
      <c r="F102" s="26" t="s">
        <v>1641</v>
      </c>
      <c r="G102" s="4" t="s">
        <v>1481</v>
      </c>
      <c r="H102" s="26"/>
    </row>
    <row r="103" spans="1:8" ht="31.2">
      <c r="A103" s="19">
        <v>21</v>
      </c>
      <c r="B103" s="42" t="s">
        <v>1109</v>
      </c>
      <c r="C103" s="34"/>
      <c r="D103" s="26"/>
      <c r="E103" s="26"/>
      <c r="F103" s="26" t="s">
        <v>1642</v>
      </c>
      <c r="G103" s="3" t="s">
        <v>2047</v>
      </c>
      <c r="H103" s="26"/>
    </row>
    <row r="104" spans="1:8" ht="31.2">
      <c r="A104" s="19">
        <v>21</v>
      </c>
      <c r="B104" s="42" t="s">
        <v>1158</v>
      </c>
      <c r="C104" s="34"/>
      <c r="D104" s="26"/>
      <c r="E104" s="26"/>
      <c r="F104" s="26" t="s">
        <v>1643</v>
      </c>
      <c r="G104" s="4" t="s">
        <v>1484</v>
      </c>
      <c r="H104" s="26"/>
    </row>
    <row r="105" spans="1:8" ht="31.2">
      <c r="A105" s="19">
        <v>21</v>
      </c>
      <c r="B105" s="42" t="s">
        <v>121</v>
      </c>
      <c r="C105" s="34"/>
      <c r="D105" s="26"/>
      <c r="E105" s="26"/>
      <c r="F105" s="26" t="s">
        <v>1644</v>
      </c>
      <c r="G105" s="3" t="s">
        <v>2047</v>
      </c>
      <c r="H105" s="26"/>
    </row>
    <row r="106" spans="1:8" ht="31.2">
      <c r="A106" s="19">
        <v>21</v>
      </c>
      <c r="B106" s="42"/>
      <c r="C106" s="76" t="s">
        <v>1030</v>
      </c>
      <c r="D106" s="26"/>
      <c r="E106" s="26"/>
      <c r="F106" s="26" t="s">
        <v>1645</v>
      </c>
      <c r="G106" s="3" t="s">
        <v>1788</v>
      </c>
      <c r="H106" s="26"/>
    </row>
    <row r="107" spans="1:8" ht="31.2">
      <c r="A107" s="19">
        <v>21</v>
      </c>
      <c r="B107" s="42"/>
      <c r="C107" s="76" t="s">
        <v>1155</v>
      </c>
      <c r="D107" s="26"/>
      <c r="E107" s="26"/>
      <c r="F107" s="26" t="s">
        <v>1646</v>
      </c>
      <c r="G107" s="4" t="s">
        <v>1156</v>
      </c>
      <c r="H107" s="26"/>
    </row>
    <row r="108" spans="1:8" ht="31.2">
      <c r="A108" s="19">
        <v>21</v>
      </c>
      <c r="B108" s="42"/>
      <c r="C108" s="76" t="s">
        <v>178</v>
      </c>
      <c r="D108" s="26"/>
      <c r="E108" s="26"/>
      <c r="F108" s="26" t="s">
        <v>1647</v>
      </c>
      <c r="G108" s="3" t="s">
        <v>2047</v>
      </c>
      <c r="H108" s="26"/>
    </row>
  </sheetData>
  <mergeCells count="8">
    <mergeCell ref="A34:B34"/>
    <mergeCell ref="A44:D44"/>
    <mergeCell ref="A89:H89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400-000000000000}">
      <formula1>"Tags Normal,Tags Reversed,Local"</formula1>
    </dataValidation>
    <dataValidation type="list" allowBlank="1" showInputMessage="1" showErrorMessage="1" sqref="B29 B31 B33 B35 B19:B21" xr:uid="{00000000-0002-0000-0400-000001000000}">
      <formula1>"Checked,Unchecked"</formula1>
    </dataValidation>
    <dataValidation type="list" allowBlank="1" showInputMessage="1" showErrorMessage="1" sqref="B25" xr:uid="{00000000-0002-0000-0400-000002000000}">
      <formula1>"N/A,Tags Normal,Tags Reversed,Direct Assignment"</formula1>
    </dataValidation>
    <dataValidation type="list" allowBlank="1" showInputMessage="1" showErrorMessage="1" sqref="B37" xr:uid="{00000000-0002-0000-0400-000003000000}">
      <formula1>"JSON,XML,CEF,LEEF,Key-Value Pairs,Delimited,Limited Structure"</formula1>
    </dataValidation>
    <dataValidation type="list" allowBlank="1" showInputMessage="1" showErrorMessage="1" sqref="B23:B24" xr:uid="{00000000-0002-0000-0400-000004000000}">
      <formula1>"N/A,Tags,Log Message Source"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84"/>
  <sheetViews>
    <sheetView topLeftCell="A43" workbookViewId="0">
      <selection activeCell="C61" sqref="C61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9" width="40.796875" style="7" customWidth="1"/>
    <col min="10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281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282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283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18.4">
      <c r="A41" s="8" t="s">
        <v>48</v>
      </c>
      <c r="B41" s="11" t="s">
        <v>284</v>
      </c>
      <c r="C41" s="13" t="s">
        <v>285</v>
      </c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55</v>
      </c>
      <c r="C46" s="47">
        <v>43595</v>
      </c>
      <c r="D46" s="15"/>
      <c r="E46" s="10"/>
      <c r="F46" s="10"/>
      <c r="G46" s="10"/>
    </row>
    <row r="47" spans="1:8">
      <c r="A47" s="46" t="s">
        <v>56</v>
      </c>
      <c r="B47" s="46" t="s">
        <v>57</v>
      </c>
      <c r="C47" s="48">
        <v>0.48457175925925899</v>
      </c>
      <c r="D47" s="15"/>
      <c r="E47" s="10"/>
      <c r="F47" s="10"/>
      <c r="G47" s="10"/>
    </row>
    <row r="48" spans="1:8">
      <c r="A48" s="46" t="s">
        <v>58</v>
      </c>
      <c r="B48" s="46" t="s">
        <v>210</v>
      </c>
      <c r="C48" s="67" t="s">
        <v>1439</v>
      </c>
      <c r="D48" s="18" t="s">
        <v>67</v>
      </c>
      <c r="E48" s="10"/>
      <c r="F48" s="10"/>
      <c r="G48" s="10"/>
    </row>
    <row r="49" spans="1:7" ht="31.2">
      <c r="A49" s="46" t="s">
        <v>60</v>
      </c>
      <c r="B49" s="46" t="s">
        <v>286</v>
      </c>
      <c r="C49" s="41" t="s">
        <v>287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46" t="s">
        <v>288</v>
      </c>
      <c r="C50" s="41" t="s">
        <v>289</v>
      </c>
      <c r="D50" s="18"/>
      <c r="E50" s="10"/>
      <c r="F50" s="10"/>
      <c r="G50" s="10"/>
    </row>
    <row r="51" spans="1:7" ht="31.2">
      <c r="A51" s="46" t="s">
        <v>68</v>
      </c>
      <c r="B51" s="46" t="s">
        <v>214</v>
      </c>
      <c r="C51" s="41" t="s">
        <v>70</v>
      </c>
      <c r="D51" s="45" t="s">
        <v>71</v>
      </c>
      <c r="E51" s="10"/>
      <c r="F51" s="10"/>
      <c r="G51" s="10"/>
    </row>
    <row r="52" spans="1:7">
      <c r="A52" s="46" t="s">
        <v>72</v>
      </c>
      <c r="B52" s="46" t="s">
        <v>215</v>
      </c>
      <c r="C52" s="41" t="s">
        <v>258</v>
      </c>
      <c r="D52" s="14"/>
      <c r="E52" s="10"/>
      <c r="F52" s="10"/>
      <c r="G52" s="10"/>
    </row>
    <row r="53" spans="1:7">
      <c r="A53" s="46" t="s">
        <v>75</v>
      </c>
      <c r="B53" s="46" t="s">
        <v>216</v>
      </c>
      <c r="C53" s="41">
        <v>1.5855252905135501E+18</v>
      </c>
      <c r="D53" s="45"/>
      <c r="E53" s="10"/>
      <c r="F53" s="10"/>
      <c r="G53" s="10"/>
    </row>
    <row r="54" spans="1:7">
      <c r="A54" s="46" t="s">
        <v>290</v>
      </c>
      <c r="B54" s="46" t="s">
        <v>291</v>
      </c>
      <c r="C54" s="41">
        <v>-700</v>
      </c>
      <c r="D54" s="45"/>
      <c r="E54" s="10"/>
      <c r="F54" s="10"/>
      <c r="G54" s="10"/>
    </row>
    <row r="55" spans="1:7">
      <c r="A55" s="46" t="s">
        <v>292</v>
      </c>
      <c r="B55" s="46" t="s">
        <v>293</v>
      </c>
      <c r="C55" s="41" t="s">
        <v>294</v>
      </c>
      <c r="D55" s="45"/>
      <c r="E55" s="10"/>
      <c r="F55" s="10"/>
      <c r="G55" s="10"/>
    </row>
    <row r="56" spans="1:7" ht="31.2">
      <c r="A56" s="46" t="s">
        <v>295</v>
      </c>
      <c r="B56" s="46" t="s">
        <v>296</v>
      </c>
      <c r="C56" s="41" t="s">
        <v>297</v>
      </c>
      <c r="D56" s="45" t="s">
        <v>298</v>
      </c>
      <c r="E56" s="10"/>
      <c r="F56" s="10"/>
      <c r="G56" s="10"/>
    </row>
    <row r="57" spans="1:7">
      <c r="A57" s="46" t="s">
        <v>299</v>
      </c>
      <c r="B57" s="46" t="s">
        <v>300</v>
      </c>
      <c r="C57" s="41" t="s">
        <v>301</v>
      </c>
      <c r="D57" s="45" t="s">
        <v>302</v>
      </c>
      <c r="E57" s="10"/>
      <c r="F57" s="10"/>
      <c r="G57" s="10"/>
    </row>
    <row r="58" spans="1:7">
      <c r="A58" s="46" t="s">
        <v>303</v>
      </c>
      <c r="B58" s="46" t="s">
        <v>304</v>
      </c>
      <c r="C58" s="41">
        <v>1</v>
      </c>
      <c r="D58" s="45"/>
      <c r="E58" s="10"/>
      <c r="F58" s="10"/>
      <c r="G58" s="10"/>
    </row>
    <row r="59" spans="1:7">
      <c r="A59" s="46" t="s">
        <v>305</v>
      </c>
      <c r="B59" s="46" t="s">
        <v>306</v>
      </c>
      <c r="C59" s="41">
        <v>1</v>
      </c>
      <c r="D59" s="45"/>
      <c r="E59" s="10"/>
      <c r="F59" s="10"/>
      <c r="G59" s="10"/>
    </row>
    <row r="60" spans="1:7">
      <c r="A60" s="46" t="s">
        <v>307</v>
      </c>
      <c r="B60" s="46" t="s">
        <v>308</v>
      </c>
      <c r="C60" s="41">
        <v>2</v>
      </c>
      <c r="D60" s="45"/>
      <c r="E60" s="10"/>
      <c r="F60" s="10"/>
      <c r="G60" s="10"/>
    </row>
    <row r="61" spans="1:7">
      <c r="A61" s="46" t="s">
        <v>309</v>
      </c>
      <c r="B61" s="46" t="s">
        <v>310</v>
      </c>
      <c r="C61" s="41" t="s">
        <v>311</v>
      </c>
      <c r="D61" s="45" t="s">
        <v>312</v>
      </c>
      <c r="E61" s="10"/>
      <c r="F61" s="10"/>
      <c r="G61" s="10"/>
    </row>
    <row r="62" spans="1:7">
      <c r="A62" s="46" t="s">
        <v>313</v>
      </c>
      <c r="B62" s="46" t="s">
        <v>314</v>
      </c>
      <c r="C62" s="41" t="s">
        <v>315</v>
      </c>
      <c r="D62" s="45" t="s">
        <v>101</v>
      </c>
      <c r="E62" s="10"/>
      <c r="F62" s="10"/>
      <c r="G62" s="10"/>
    </row>
    <row r="63" spans="1:7">
      <c r="A63" s="46" t="s">
        <v>316</v>
      </c>
      <c r="B63" s="46" t="s">
        <v>317</v>
      </c>
      <c r="C63" s="41" t="s">
        <v>318</v>
      </c>
      <c r="D63" s="45" t="s">
        <v>319</v>
      </c>
      <c r="E63" s="10"/>
      <c r="F63" s="10"/>
      <c r="G63" s="10"/>
    </row>
    <row r="64" spans="1:7">
      <c r="A64" s="46" t="s">
        <v>320</v>
      </c>
      <c r="B64" s="46" t="s">
        <v>321</v>
      </c>
      <c r="C64" s="41">
        <v>1.2999999999999999E-2</v>
      </c>
      <c r="D64" s="45"/>
      <c r="E64" s="10"/>
      <c r="F64" s="10"/>
      <c r="G64" s="10"/>
    </row>
    <row r="65" spans="1:9">
      <c r="A65" s="46" t="s">
        <v>322</v>
      </c>
      <c r="B65" s="46" t="s">
        <v>323</v>
      </c>
      <c r="C65" s="41">
        <v>1E-3</v>
      </c>
      <c r="D65" s="45"/>
      <c r="E65" s="10"/>
      <c r="F65" s="10"/>
      <c r="G65" s="10"/>
    </row>
    <row r="66" spans="1:9">
      <c r="A66" s="46" t="s">
        <v>324</v>
      </c>
      <c r="B66" s="46" t="s">
        <v>325</v>
      </c>
      <c r="C66" s="41">
        <v>1</v>
      </c>
      <c r="D66" s="14"/>
      <c r="E66" s="10"/>
      <c r="F66" s="10"/>
      <c r="G66" s="10"/>
    </row>
    <row r="67" spans="1:9">
      <c r="A67" s="46" t="s">
        <v>326</v>
      </c>
      <c r="B67" s="46" t="s">
        <v>327</v>
      </c>
      <c r="C67" s="41" t="s">
        <v>328</v>
      </c>
      <c r="D67" s="14"/>
      <c r="E67" s="10"/>
      <c r="F67" s="10"/>
      <c r="G67" s="10"/>
    </row>
    <row r="68" spans="1:9">
      <c r="A68" s="46" t="s">
        <v>329</v>
      </c>
      <c r="B68" s="46" t="s">
        <v>330</v>
      </c>
      <c r="C68" s="41" t="s">
        <v>328</v>
      </c>
      <c r="D68" s="14"/>
      <c r="E68" s="10"/>
      <c r="F68" s="10"/>
      <c r="G68" s="10"/>
    </row>
    <row r="69" spans="1:9">
      <c r="A69" s="46" t="s">
        <v>331</v>
      </c>
      <c r="B69" s="46" t="s">
        <v>332</v>
      </c>
      <c r="C69" s="41" t="s">
        <v>328</v>
      </c>
      <c r="D69" s="14"/>
      <c r="E69" s="10"/>
      <c r="F69" s="10"/>
      <c r="G69" s="10"/>
    </row>
    <row r="70" spans="1:9">
      <c r="A70" s="46" t="s">
        <v>333</v>
      </c>
      <c r="B70" s="46" t="s">
        <v>334</v>
      </c>
      <c r="C70" s="41" t="s">
        <v>335</v>
      </c>
      <c r="D70" s="14"/>
      <c r="E70" s="10"/>
      <c r="F70" s="10"/>
      <c r="G70" s="10"/>
    </row>
    <row r="71" spans="1:9">
      <c r="A71" s="46" t="s">
        <v>336</v>
      </c>
      <c r="B71" s="46" t="s">
        <v>337</v>
      </c>
      <c r="C71" s="41" t="s">
        <v>324</v>
      </c>
      <c r="D71" s="14"/>
      <c r="E71" s="10"/>
      <c r="F71" s="10"/>
      <c r="G71" s="10"/>
    </row>
    <row r="72" spans="1:9">
      <c r="A72" s="13"/>
      <c r="B72" s="10"/>
      <c r="C72" s="10"/>
      <c r="D72" s="10"/>
      <c r="E72" s="10"/>
      <c r="F72" s="10"/>
      <c r="G72" s="10"/>
      <c r="H72" s="10"/>
    </row>
    <row r="73" spans="1:9">
      <c r="A73" s="13"/>
      <c r="B73" s="10"/>
      <c r="C73" s="10"/>
      <c r="D73" s="10"/>
      <c r="E73" s="10"/>
      <c r="F73" s="10"/>
      <c r="G73" s="10"/>
      <c r="H73" s="10"/>
    </row>
    <row r="74" spans="1:9">
      <c r="A74" s="113" t="s">
        <v>196</v>
      </c>
      <c r="B74" s="113"/>
      <c r="C74" s="113"/>
      <c r="D74" s="113"/>
      <c r="E74" s="113"/>
      <c r="F74" s="113"/>
      <c r="G74" s="113"/>
      <c r="H74" s="113"/>
      <c r="I74" s="26"/>
    </row>
    <row r="75" spans="1:9">
      <c r="A75" s="14" t="s">
        <v>1432</v>
      </c>
      <c r="B75" s="14" t="s">
        <v>197</v>
      </c>
      <c r="C75" s="14" t="s">
        <v>198</v>
      </c>
      <c r="D75" s="14" t="s">
        <v>199</v>
      </c>
      <c r="E75" s="14" t="s">
        <v>200</v>
      </c>
      <c r="F75" s="14" t="s">
        <v>201</v>
      </c>
      <c r="G75" s="14" t="s">
        <v>202</v>
      </c>
      <c r="H75" s="14" t="s">
        <v>21</v>
      </c>
      <c r="I75" s="14" t="s">
        <v>203</v>
      </c>
    </row>
    <row r="76" spans="1:9" ht="31.2">
      <c r="A76" s="77">
        <v>22923</v>
      </c>
      <c r="B76" s="19"/>
      <c r="C76" s="19"/>
      <c r="D76" s="19"/>
      <c r="E76" s="19"/>
      <c r="F76" s="4"/>
      <c r="G76" s="4" t="s">
        <v>1754</v>
      </c>
      <c r="H76" s="4" t="s">
        <v>1648</v>
      </c>
      <c r="I76" s="26"/>
    </row>
    <row r="77" spans="1:9" ht="31.2">
      <c r="A77" s="77">
        <v>22924</v>
      </c>
      <c r="B77" s="26"/>
      <c r="C77" s="26"/>
      <c r="D77" s="26"/>
      <c r="E77" s="26"/>
      <c r="F77" s="26"/>
      <c r="G77" s="26" t="s">
        <v>1755</v>
      </c>
      <c r="H77" s="4" t="s">
        <v>1648</v>
      </c>
      <c r="I77" s="26"/>
    </row>
    <row r="78" spans="1:9" ht="31.2">
      <c r="A78" s="77">
        <v>22925</v>
      </c>
      <c r="B78" s="26"/>
      <c r="C78" s="26"/>
      <c r="D78" s="26"/>
      <c r="E78" s="26"/>
      <c r="F78" s="26"/>
      <c r="G78" s="26" t="s">
        <v>1756</v>
      </c>
      <c r="H78" s="4" t="s">
        <v>1648</v>
      </c>
      <c r="I78" s="26"/>
    </row>
    <row r="79" spans="1:9" ht="31.2">
      <c r="A79" s="77">
        <v>22926</v>
      </c>
      <c r="B79" s="26"/>
      <c r="C79" s="26"/>
      <c r="D79" s="26"/>
      <c r="E79" s="26"/>
      <c r="F79" s="26"/>
      <c r="G79" s="26" t="s">
        <v>1757</v>
      </c>
      <c r="H79" s="4" t="s">
        <v>1648</v>
      </c>
      <c r="I79" s="26"/>
    </row>
    <row r="80" spans="1:9" ht="31.2">
      <c r="A80" s="77">
        <v>22927</v>
      </c>
      <c r="B80" s="26"/>
      <c r="C80" s="26"/>
      <c r="D80" s="26"/>
      <c r="E80" s="26"/>
      <c r="F80" s="26"/>
      <c r="G80" s="26" t="s">
        <v>1758</v>
      </c>
      <c r="H80" s="4" t="s">
        <v>1648</v>
      </c>
      <c r="I80" s="26"/>
    </row>
    <row r="81" spans="1:9" ht="31.2">
      <c r="A81" s="77">
        <v>22928</v>
      </c>
      <c r="B81" s="26"/>
      <c r="C81" s="26"/>
      <c r="D81" s="26"/>
      <c r="E81" s="26"/>
      <c r="F81" s="26"/>
      <c r="G81" s="26" t="s">
        <v>1759</v>
      </c>
      <c r="H81" s="4" t="s">
        <v>1648</v>
      </c>
      <c r="I81" s="26"/>
    </row>
    <row r="82" spans="1:9">
      <c r="A82" s="77">
        <v>22929</v>
      </c>
      <c r="B82" s="26"/>
      <c r="C82" s="26"/>
      <c r="D82" s="26"/>
      <c r="E82" s="26"/>
      <c r="F82" s="26"/>
      <c r="G82" s="26" t="s">
        <v>1760</v>
      </c>
      <c r="H82" s="4" t="s">
        <v>1134</v>
      </c>
      <c r="I82" s="26"/>
    </row>
    <row r="83" spans="1:9">
      <c r="A83" s="53">
        <v>22930</v>
      </c>
      <c r="B83" s="26"/>
      <c r="C83" s="26"/>
      <c r="D83" s="26"/>
      <c r="E83" s="26"/>
      <c r="F83" s="26"/>
      <c r="G83" s="26" t="s">
        <v>1761</v>
      </c>
      <c r="H83" s="4" t="s">
        <v>1134</v>
      </c>
      <c r="I83" s="26"/>
    </row>
    <row r="84" spans="1:9">
      <c r="A84" s="53">
        <v>22931</v>
      </c>
      <c r="B84" s="26"/>
      <c r="C84" s="26"/>
      <c r="D84" s="26"/>
      <c r="E84" s="26"/>
      <c r="F84" s="26"/>
      <c r="G84" s="26" t="s">
        <v>1762</v>
      </c>
      <c r="H84" s="4" t="s">
        <v>1134</v>
      </c>
      <c r="I84" s="26"/>
    </row>
  </sheetData>
  <mergeCells count="8">
    <mergeCell ref="A34:B34"/>
    <mergeCell ref="A44:D44"/>
    <mergeCell ref="A74:H74"/>
    <mergeCell ref="A11:B11"/>
    <mergeCell ref="A18:B18"/>
    <mergeCell ref="A28:B28"/>
    <mergeCell ref="A30:B30"/>
    <mergeCell ref="A32:B32"/>
  </mergeCells>
  <conditionalFormatting sqref="B61:B71">
    <cfRule type="duplicateValues" dxfId="6" priority="1"/>
  </conditionalFormatting>
  <dataValidations count="5">
    <dataValidation type="list" allowBlank="1" showInputMessage="1" showErrorMessage="1" sqref="B22" xr:uid="{00000000-0002-0000-0500-000000000000}">
      <formula1>"Tags Normal,Tags Reversed,Local"</formula1>
    </dataValidation>
    <dataValidation type="list" allowBlank="1" showInputMessage="1" showErrorMessage="1" sqref="B29 B31 B33 B35 B19:B21" xr:uid="{00000000-0002-0000-0500-000001000000}">
      <formula1>"Checked,Unchecked"</formula1>
    </dataValidation>
    <dataValidation type="list" allowBlank="1" showInputMessage="1" showErrorMessage="1" sqref="B25" xr:uid="{00000000-0002-0000-0500-000002000000}">
      <formula1>"N/A,Tags Normal,Tags Reversed,Direct Assignment"</formula1>
    </dataValidation>
    <dataValidation type="list" allowBlank="1" showInputMessage="1" showErrorMessage="1" sqref="B37" xr:uid="{00000000-0002-0000-0500-000003000000}">
      <formula1>"JSON,XML,CEF,LEEF,Key-Value Pairs,Delimited,Limited Structure"</formula1>
    </dataValidation>
    <dataValidation type="list" allowBlank="1" showInputMessage="1" showErrorMessage="1" sqref="B23:B24" xr:uid="{00000000-0002-0000-0500-000004000000}">
      <formula1>"N/A,Tags,Log Message Source"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99"/>
  <sheetViews>
    <sheetView topLeftCell="A55" workbookViewId="0">
      <selection activeCell="C54" sqref="C54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338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78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339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340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341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87.2">
      <c r="A41" s="8" t="s">
        <v>48</v>
      </c>
      <c r="B41" s="11" t="s">
        <v>342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4" t="s">
        <v>343</v>
      </c>
      <c r="C46" s="16">
        <v>43598</v>
      </c>
      <c r="D46" s="14"/>
      <c r="E46" s="10"/>
      <c r="F46" s="10"/>
      <c r="G46" s="10"/>
    </row>
    <row r="47" spans="1:8">
      <c r="A47" s="4" t="s">
        <v>56</v>
      </c>
      <c r="B47" s="4" t="s">
        <v>344</v>
      </c>
      <c r="C47" s="79">
        <v>0.47284722222222197</v>
      </c>
      <c r="D47" s="14"/>
      <c r="E47" s="10"/>
      <c r="F47" s="10"/>
      <c r="G47" s="10"/>
    </row>
    <row r="48" spans="1:8">
      <c r="A48" s="4" t="s">
        <v>58</v>
      </c>
      <c r="B48" s="4" t="s">
        <v>210</v>
      </c>
      <c r="C48" s="25" t="s">
        <v>1440</v>
      </c>
      <c r="D48" s="18" t="s">
        <v>67</v>
      </c>
      <c r="E48" s="10"/>
      <c r="F48" s="10"/>
      <c r="G48" s="10"/>
    </row>
    <row r="49" spans="1:7" ht="31.2">
      <c r="A49" s="4" t="s">
        <v>60</v>
      </c>
      <c r="B49" s="4" t="s">
        <v>286</v>
      </c>
      <c r="C49" s="5" t="s">
        <v>287</v>
      </c>
      <c r="D49" s="18"/>
      <c r="E49" s="10"/>
      <c r="F49" s="10"/>
      <c r="G49" s="10"/>
    </row>
    <row r="50" spans="1:7" ht="31.2">
      <c r="A50" s="4" t="s">
        <v>64</v>
      </c>
      <c r="B50" s="4" t="s">
        <v>345</v>
      </c>
      <c r="C50" s="5" t="s">
        <v>346</v>
      </c>
      <c r="D50" s="18" t="s">
        <v>63</v>
      </c>
      <c r="E50" s="10"/>
      <c r="F50" s="10"/>
      <c r="G50" s="10"/>
    </row>
    <row r="51" spans="1:7" ht="31.2">
      <c r="A51" s="4" t="s">
        <v>68</v>
      </c>
      <c r="B51" s="4" t="s">
        <v>347</v>
      </c>
      <c r="C51" s="5" t="s">
        <v>348</v>
      </c>
      <c r="D51" s="19" t="s">
        <v>71</v>
      </c>
      <c r="E51" s="10"/>
      <c r="F51" s="10"/>
      <c r="G51" s="10"/>
    </row>
    <row r="52" spans="1:7">
      <c r="A52" s="4" t="s">
        <v>72</v>
      </c>
      <c r="B52" s="4" t="s">
        <v>215</v>
      </c>
      <c r="C52" s="5" t="s">
        <v>74</v>
      </c>
      <c r="D52" s="14"/>
      <c r="E52" s="10"/>
      <c r="F52" s="10"/>
      <c r="G52" s="10"/>
    </row>
    <row r="53" spans="1:7">
      <c r="A53" s="4" t="s">
        <v>75</v>
      </c>
      <c r="B53" s="4" t="s">
        <v>216</v>
      </c>
      <c r="C53" s="5">
        <v>1.5577716545870799E+18</v>
      </c>
      <c r="D53" s="14"/>
      <c r="E53" s="10"/>
      <c r="F53" s="10"/>
      <c r="G53" s="10"/>
    </row>
    <row r="54" spans="1:7">
      <c r="A54" s="4" t="s">
        <v>292</v>
      </c>
      <c r="B54" s="4" t="s">
        <v>293</v>
      </c>
      <c r="C54" s="5" t="s">
        <v>349</v>
      </c>
      <c r="D54" s="19"/>
      <c r="E54" s="10"/>
      <c r="F54" s="10"/>
      <c r="G54" s="10"/>
    </row>
    <row r="55" spans="1:7">
      <c r="A55" s="4" t="s">
        <v>350</v>
      </c>
      <c r="B55" s="4" t="s">
        <v>351</v>
      </c>
      <c r="C55" s="5">
        <v>1557771654</v>
      </c>
      <c r="D55" s="19" t="s">
        <v>352</v>
      </c>
      <c r="E55" s="10"/>
      <c r="F55" s="10"/>
      <c r="G55" s="10"/>
    </row>
    <row r="56" spans="1:7">
      <c r="A56" s="4" t="s">
        <v>353</v>
      </c>
      <c r="B56" s="4" t="s">
        <v>354</v>
      </c>
      <c r="C56" s="5" t="s">
        <v>355</v>
      </c>
      <c r="D56" s="19" t="s">
        <v>356</v>
      </c>
      <c r="E56" s="10"/>
      <c r="F56" s="10"/>
      <c r="G56" s="10"/>
    </row>
    <row r="57" spans="1:7" ht="46.8">
      <c r="A57" s="4" t="s">
        <v>357</v>
      </c>
      <c r="B57" s="4" t="s">
        <v>358</v>
      </c>
      <c r="C57" s="5" t="s">
        <v>359</v>
      </c>
      <c r="D57" s="19"/>
      <c r="E57" s="10"/>
      <c r="F57" s="10"/>
      <c r="G57" s="10"/>
    </row>
    <row r="58" spans="1:7" ht="31.2">
      <c r="A58" s="4" t="s">
        <v>360</v>
      </c>
      <c r="B58" s="4" t="s">
        <v>361</v>
      </c>
      <c r="C58" s="5" t="s">
        <v>362</v>
      </c>
      <c r="D58" s="19"/>
      <c r="E58" s="10"/>
      <c r="F58" s="10"/>
      <c r="G58" s="10"/>
    </row>
    <row r="59" spans="1:7">
      <c r="A59" s="4" t="s">
        <v>77</v>
      </c>
      <c r="B59" s="4" t="s">
        <v>363</v>
      </c>
      <c r="C59" s="5" t="s">
        <v>218</v>
      </c>
      <c r="D59" s="19" t="s">
        <v>80</v>
      </c>
      <c r="E59" s="10"/>
      <c r="F59" s="10"/>
      <c r="G59" s="10"/>
    </row>
    <row r="60" spans="1:7">
      <c r="A60" s="4" t="s">
        <v>91</v>
      </c>
      <c r="B60" s="4" t="s">
        <v>364</v>
      </c>
      <c r="C60" s="5" t="s">
        <v>221</v>
      </c>
      <c r="D60" s="19" t="s">
        <v>94</v>
      </c>
      <c r="E60" s="10"/>
      <c r="F60" s="10"/>
      <c r="G60" s="10"/>
    </row>
    <row r="61" spans="1:7" ht="31.2">
      <c r="A61" s="4" t="s">
        <v>119</v>
      </c>
      <c r="B61" s="4" t="s">
        <v>365</v>
      </c>
      <c r="C61" s="5" t="s">
        <v>366</v>
      </c>
      <c r="D61" s="19" t="s">
        <v>122</v>
      </c>
      <c r="E61" s="10"/>
      <c r="F61" s="10"/>
      <c r="G61" s="10"/>
    </row>
    <row r="62" spans="1:7" ht="31.2">
      <c r="A62" s="4" t="s">
        <v>316</v>
      </c>
      <c r="B62" s="4" t="s">
        <v>367</v>
      </c>
      <c r="C62" s="5" t="s">
        <v>368</v>
      </c>
      <c r="D62" s="19" t="s">
        <v>319</v>
      </c>
      <c r="E62" s="10"/>
      <c r="F62" s="10"/>
      <c r="G62" s="10"/>
    </row>
    <row r="63" spans="1:7" ht="31.2">
      <c r="A63" s="4" t="s">
        <v>369</v>
      </c>
      <c r="B63" s="4" t="s">
        <v>370</v>
      </c>
      <c r="C63" s="5" t="s">
        <v>371</v>
      </c>
      <c r="D63" s="19" t="s">
        <v>372</v>
      </c>
      <c r="E63" s="10"/>
      <c r="F63" s="10"/>
      <c r="G63" s="10"/>
    </row>
    <row r="64" spans="1:7" ht="31.2">
      <c r="A64" s="4" t="s">
        <v>373</v>
      </c>
      <c r="B64" s="4" t="s">
        <v>374</v>
      </c>
      <c r="C64" s="5" t="s">
        <v>375</v>
      </c>
      <c r="D64" s="19"/>
      <c r="E64" s="10"/>
      <c r="F64" s="10"/>
      <c r="G64" s="10"/>
    </row>
    <row r="65" spans="1:8" ht="31.2">
      <c r="A65" s="4" t="s">
        <v>309</v>
      </c>
      <c r="B65" s="4" t="s">
        <v>310</v>
      </c>
      <c r="C65" s="5" t="s">
        <v>376</v>
      </c>
      <c r="D65" s="19" t="s">
        <v>312</v>
      </c>
      <c r="E65" s="10"/>
      <c r="F65" s="10"/>
      <c r="G65" s="10"/>
    </row>
    <row r="66" spans="1:8">
      <c r="A66" s="13"/>
      <c r="B66" s="10"/>
      <c r="C66" s="10"/>
      <c r="D66" s="10"/>
      <c r="E66" s="10"/>
      <c r="F66" s="10"/>
      <c r="G66" s="10"/>
      <c r="H66" s="10"/>
    </row>
    <row r="67" spans="1:8">
      <c r="A67" s="13"/>
      <c r="B67" s="10"/>
      <c r="C67" s="10"/>
      <c r="D67" s="10"/>
      <c r="E67" s="10"/>
      <c r="F67" s="10"/>
      <c r="G67" s="10"/>
      <c r="H67" s="10"/>
    </row>
    <row r="68" spans="1:8">
      <c r="A68" s="113" t="s">
        <v>196</v>
      </c>
      <c r="B68" s="113"/>
      <c r="C68" s="113"/>
      <c r="D68" s="113"/>
      <c r="E68" s="113"/>
      <c r="F68" s="113"/>
      <c r="G68" s="113"/>
      <c r="H68" s="113"/>
    </row>
    <row r="69" spans="1:8">
      <c r="A69" s="14" t="s">
        <v>1432</v>
      </c>
      <c r="B69" s="14" t="s">
        <v>197</v>
      </c>
      <c r="C69" s="14" t="s">
        <v>198</v>
      </c>
      <c r="D69" s="14" t="s">
        <v>199</v>
      </c>
      <c r="E69" s="14" t="s">
        <v>200</v>
      </c>
      <c r="F69" s="14" t="s">
        <v>202</v>
      </c>
      <c r="G69" s="14" t="s">
        <v>21</v>
      </c>
      <c r="H69" s="14" t="s">
        <v>203</v>
      </c>
    </row>
    <row r="70" spans="1:8" ht="31.2">
      <c r="A70" s="19">
        <v>20003</v>
      </c>
      <c r="B70" s="19"/>
      <c r="C70" s="19"/>
      <c r="D70" s="19"/>
      <c r="E70" s="19"/>
      <c r="F70" s="4" t="s">
        <v>1163</v>
      </c>
      <c r="G70" s="4" t="s">
        <v>1164</v>
      </c>
      <c r="H70" s="4"/>
    </row>
    <row r="71" spans="1:8">
      <c r="A71" s="19">
        <v>20025</v>
      </c>
      <c r="B71" s="26"/>
      <c r="C71" s="26"/>
      <c r="D71" s="26"/>
      <c r="E71" s="26"/>
      <c r="F71" s="26" t="s">
        <v>1165</v>
      </c>
      <c r="G71" s="26" t="s">
        <v>1166</v>
      </c>
      <c r="H71" s="26"/>
    </row>
    <row r="72" spans="1:8">
      <c r="A72" s="19">
        <v>20027</v>
      </c>
      <c r="B72" s="26"/>
      <c r="C72" s="26"/>
      <c r="D72" s="26"/>
      <c r="E72" s="26"/>
      <c r="F72" s="7" t="s">
        <v>1461</v>
      </c>
      <c r="G72" s="26" t="s">
        <v>1167</v>
      </c>
      <c r="H72" s="26"/>
    </row>
    <row r="73" spans="1:8">
      <c r="A73" s="19">
        <v>20085</v>
      </c>
      <c r="B73" s="26"/>
      <c r="C73" s="26"/>
      <c r="D73" s="26"/>
      <c r="E73" s="26"/>
      <c r="F73" s="26" t="s">
        <v>1168</v>
      </c>
      <c r="G73" s="26" t="s">
        <v>1463</v>
      </c>
      <c r="H73" s="26"/>
    </row>
    <row r="74" spans="1:8" ht="31.2">
      <c r="A74" s="19">
        <v>22924</v>
      </c>
      <c r="B74" s="26"/>
      <c r="C74" s="26"/>
      <c r="D74" s="26"/>
      <c r="E74" s="26"/>
      <c r="F74" s="26" t="s">
        <v>1169</v>
      </c>
      <c r="G74" s="4" t="s">
        <v>1648</v>
      </c>
      <c r="H74" s="26"/>
    </row>
    <row r="75" spans="1:8">
      <c r="A75" s="19">
        <v>26001</v>
      </c>
      <c r="B75" s="26"/>
      <c r="C75" s="26"/>
      <c r="D75" s="26"/>
      <c r="E75" s="26"/>
      <c r="F75" s="26" t="s">
        <v>1170</v>
      </c>
      <c r="G75" s="26" t="s">
        <v>1649</v>
      </c>
      <c r="H75" s="26"/>
    </row>
    <row r="76" spans="1:8" ht="31.2">
      <c r="A76" s="19">
        <v>26003</v>
      </c>
      <c r="B76" s="26"/>
      <c r="C76" s="26"/>
      <c r="D76" s="26"/>
      <c r="E76" s="26"/>
      <c r="F76" s="26" t="s">
        <v>1171</v>
      </c>
      <c r="G76" s="3" t="s">
        <v>1650</v>
      </c>
      <c r="H76" s="26"/>
    </row>
    <row r="77" spans="1:8">
      <c r="A77" s="19">
        <v>26004</v>
      </c>
      <c r="B77" s="26"/>
      <c r="C77" s="26"/>
      <c r="D77" s="26"/>
      <c r="E77" s="26"/>
      <c r="F77" s="26" t="s">
        <v>1172</v>
      </c>
      <c r="G77" s="26" t="s">
        <v>1651</v>
      </c>
      <c r="H77" s="26"/>
    </row>
    <row r="78" spans="1:8" ht="31.2">
      <c r="A78" s="19">
        <v>29021</v>
      </c>
      <c r="B78" s="26"/>
      <c r="C78" s="26"/>
      <c r="D78" s="26"/>
      <c r="E78" s="26"/>
      <c r="F78" s="26" t="s">
        <v>1173</v>
      </c>
      <c r="G78" s="4" t="s">
        <v>1164</v>
      </c>
      <c r="H78" s="26"/>
    </row>
    <row r="79" spans="1:8" ht="31.2">
      <c r="A79" s="19">
        <v>32001</v>
      </c>
      <c r="B79" s="26"/>
      <c r="C79" s="26"/>
      <c r="D79" s="26"/>
      <c r="E79" s="26"/>
      <c r="F79" s="26" t="s">
        <v>1174</v>
      </c>
      <c r="G79" s="3" t="s">
        <v>1255</v>
      </c>
      <c r="H79" s="26"/>
    </row>
    <row r="80" spans="1:8" ht="31.2">
      <c r="A80" s="19">
        <v>32002</v>
      </c>
      <c r="B80" s="26"/>
      <c r="C80" s="26"/>
      <c r="D80" s="26"/>
      <c r="E80" s="26"/>
      <c r="F80" s="26" t="s">
        <v>1175</v>
      </c>
      <c r="G80" s="3" t="s">
        <v>1652</v>
      </c>
      <c r="H80" s="26"/>
    </row>
    <row r="81" spans="1:8">
      <c r="A81" s="19">
        <v>32003</v>
      </c>
      <c r="B81" s="26"/>
      <c r="C81" s="26"/>
      <c r="D81" s="26"/>
      <c r="E81" s="26"/>
      <c r="F81" s="26" t="s">
        <v>1176</v>
      </c>
      <c r="G81" s="26" t="s">
        <v>1653</v>
      </c>
      <c r="H81" s="26"/>
    </row>
    <row r="82" spans="1:8" ht="31.2">
      <c r="A82" s="19">
        <v>32011</v>
      </c>
      <c r="B82" s="26"/>
      <c r="C82" s="26"/>
      <c r="D82" s="26"/>
      <c r="E82" s="26"/>
      <c r="F82" s="26" t="s">
        <v>1177</v>
      </c>
      <c r="G82" s="3" t="s">
        <v>1654</v>
      </c>
      <c r="H82" s="26"/>
    </row>
    <row r="83" spans="1:8">
      <c r="A83" s="19">
        <v>32021</v>
      </c>
      <c r="B83" s="26"/>
      <c r="C83" s="26"/>
      <c r="D83" s="26"/>
      <c r="E83" s="26"/>
      <c r="F83" s="26" t="s">
        <v>1178</v>
      </c>
      <c r="G83" s="26" t="s">
        <v>1655</v>
      </c>
      <c r="H83" s="26"/>
    </row>
    <row r="84" spans="1:8">
      <c r="A84" s="19">
        <v>32028</v>
      </c>
      <c r="B84" s="26"/>
      <c r="C84" s="26"/>
      <c r="D84" s="26"/>
      <c r="E84" s="26"/>
      <c r="F84" s="26" t="s">
        <v>1179</v>
      </c>
      <c r="G84" s="26" t="s">
        <v>1656</v>
      </c>
      <c r="H84" s="26"/>
    </row>
    <row r="85" spans="1:8">
      <c r="A85" s="19">
        <v>32029</v>
      </c>
      <c r="B85" s="26"/>
      <c r="C85" s="26"/>
      <c r="D85" s="26"/>
      <c r="E85" s="26"/>
      <c r="F85" s="26" t="s">
        <v>1180</v>
      </c>
      <c r="G85" s="26" t="s">
        <v>1656</v>
      </c>
      <c r="H85" s="26"/>
    </row>
    <row r="86" spans="1:8">
      <c r="A86" s="19">
        <v>32038</v>
      </c>
      <c r="B86" s="26"/>
      <c r="C86" s="26"/>
      <c r="D86" s="26"/>
      <c r="E86" s="26"/>
      <c r="F86" s="26" t="s">
        <v>1181</v>
      </c>
      <c r="G86" s="26" t="s">
        <v>1657</v>
      </c>
      <c r="H86" s="26"/>
    </row>
    <row r="87" spans="1:8">
      <c r="A87" s="19">
        <v>32040</v>
      </c>
      <c r="B87" s="26"/>
      <c r="C87" s="26"/>
      <c r="D87" s="26"/>
      <c r="E87" s="26"/>
      <c r="F87" s="26" t="s">
        <v>1182</v>
      </c>
      <c r="G87" s="26" t="s">
        <v>1656</v>
      </c>
      <c r="H87" s="26"/>
    </row>
    <row r="88" spans="1:8">
      <c r="A88" s="19">
        <v>32141</v>
      </c>
      <c r="B88" s="26"/>
      <c r="C88" s="26"/>
      <c r="D88" s="26"/>
      <c r="E88" s="26"/>
      <c r="F88" s="26" t="s">
        <v>1183</v>
      </c>
      <c r="G88" s="26" t="s">
        <v>1656</v>
      </c>
      <c r="H88" s="26"/>
    </row>
    <row r="89" spans="1:8">
      <c r="A89" s="19">
        <v>32143</v>
      </c>
      <c r="B89" s="26"/>
      <c r="C89" s="26"/>
      <c r="D89" s="26"/>
      <c r="E89" s="26"/>
      <c r="F89" s="26" t="s">
        <v>1184</v>
      </c>
      <c r="G89" s="26" t="s">
        <v>1658</v>
      </c>
      <c r="H89" s="26"/>
    </row>
    <row r="90" spans="1:8" ht="31.2">
      <c r="A90" s="19">
        <v>32400</v>
      </c>
      <c r="B90" s="26"/>
      <c r="C90" s="26"/>
      <c r="D90" s="26"/>
      <c r="E90" s="26"/>
      <c r="F90" s="26" t="s">
        <v>1185</v>
      </c>
      <c r="G90" s="3" t="s">
        <v>1659</v>
      </c>
      <c r="H90" s="26"/>
    </row>
    <row r="91" spans="1:8" ht="31.2">
      <c r="A91" s="19">
        <v>40704</v>
      </c>
      <c r="B91" s="26"/>
      <c r="C91" s="26"/>
      <c r="D91" s="26"/>
      <c r="E91" s="26"/>
      <c r="F91" s="26" t="s">
        <v>1186</v>
      </c>
      <c r="G91" s="3" t="s">
        <v>1660</v>
      </c>
      <c r="H91" s="26"/>
    </row>
    <row r="92" spans="1:8">
      <c r="A92" s="19">
        <v>41000</v>
      </c>
      <c r="B92" s="26"/>
      <c r="C92" s="26"/>
      <c r="D92" s="26"/>
      <c r="E92" s="26"/>
      <c r="F92" s="26" t="s">
        <v>1187</v>
      </c>
      <c r="G92" s="26" t="s">
        <v>1661</v>
      </c>
      <c r="H92" s="26"/>
    </row>
    <row r="93" spans="1:8" ht="31.2">
      <c r="A93" s="19">
        <v>41006</v>
      </c>
      <c r="B93" s="26"/>
      <c r="C93" s="26"/>
      <c r="D93" s="26"/>
      <c r="E93" s="26"/>
      <c r="F93" s="26" t="s">
        <v>1188</v>
      </c>
      <c r="G93" s="3" t="s">
        <v>1662</v>
      </c>
      <c r="H93" s="26"/>
    </row>
    <row r="94" spans="1:8">
      <c r="A94" s="19">
        <v>43776</v>
      </c>
      <c r="B94" s="26"/>
      <c r="C94" s="26"/>
      <c r="D94" s="26"/>
      <c r="E94" s="26"/>
      <c r="F94" s="26" t="s">
        <v>1189</v>
      </c>
      <c r="G94" s="26" t="s">
        <v>1663</v>
      </c>
      <c r="H94" s="26"/>
    </row>
    <row r="95" spans="1:8">
      <c r="A95" s="19">
        <v>44545</v>
      </c>
      <c r="B95" s="26"/>
      <c r="C95" s="26"/>
      <c r="D95" s="26"/>
      <c r="E95" s="26"/>
      <c r="F95" s="26" t="s">
        <v>1190</v>
      </c>
      <c r="G95" s="26" t="s">
        <v>1656</v>
      </c>
      <c r="H95" s="26"/>
    </row>
    <row r="96" spans="1:8">
      <c r="A96" s="19">
        <v>44546</v>
      </c>
      <c r="B96" s="26"/>
      <c r="C96" s="26"/>
      <c r="D96" s="26"/>
      <c r="E96" s="26"/>
      <c r="F96" s="26" t="s">
        <v>1191</v>
      </c>
      <c r="G96" s="26" t="s">
        <v>1664</v>
      </c>
      <c r="H96" s="26"/>
    </row>
    <row r="97" spans="1:8">
      <c r="A97" s="19">
        <v>44547</v>
      </c>
      <c r="B97" s="26"/>
      <c r="C97" s="26"/>
      <c r="D97" s="26"/>
      <c r="E97" s="26"/>
      <c r="F97" s="26" t="s">
        <v>1192</v>
      </c>
      <c r="G97" s="26" t="s">
        <v>1664</v>
      </c>
      <c r="H97" s="26"/>
    </row>
    <row r="98" spans="1:8" ht="31.2">
      <c r="A98" s="19">
        <v>45161</v>
      </c>
      <c r="B98" s="26"/>
      <c r="C98" s="26"/>
      <c r="D98" s="26"/>
      <c r="E98" s="26"/>
      <c r="F98" s="26" t="s">
        <v>1193</v>
      </c>
      <c r="G98" s="3" t="s">
        <v>1665</v>
      </c>
      <c r="H98" s="26"/>
    </row>
    <row r="99" spans="1:8">
      <c r="A99" s="19">
        <v>46402</v>
      </c>
      <c r="B99" s="26"/>
      <c r="C99" s="26"/>
      <c r="D99" s="26"/>
      <c r="E99" s="26"/>
      <c r="F99" s="26" t="s">
        <v>1194</v>
      </c>
      <c r="G99" s="26" t="s">
        <v>1133</v>
      </c>
      <c r="H99" s="26"/>
    </row>
  </sheetData>
  <mergeCells count="8">
    <mergeCell ref="A34:B34"/>
    <mergeCell ref="A44:D44"/>
    <mergeCell ref="A68:H68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600-000000000000}">
      <formula1>"Tags Normal,Tags Reversed,Local"</formula1>
    </dataValidation>
    <dataValidation type="list" allowBlank="1" showInputMessage="1" showErrorMessage="1" sqref="B29 B31 B33 B35 B19:B21" xr:uid="{00000000-0002-0000-0600-000001000000}">
      <formula1>"Checked,Unchecked"</formula1>
    </dataValidation>
    <dataValidation type="list" allowBlank="1" showInputMessage="1" showErrorMessage="1" sqref="B25" xr:uid="{00000000-0002-0000-0600-000002000000}">
      <formula1>"N/A,Tags Normal,Tags Reversed,Direct Assignment"</formula1>
    </dataValidation>
    <dataValidation type="list" allowBlank="1" showInputMessage="1" showErrorMessage="1" sqref="B37" xr:uid="{00000000-0002-0000-0600-000003000000}">
      <formula1>"JSON,XML,CEF,LEEF,Key-Value Pairs,Delimited,Limited Structure"</formula1>
    </dataValidation>
    <dataValidation type="list" allowBlank="1" showInputMessage="1" showErrorMessage="1" sqref="B23:B24" xr:uid="{00000000-0002-0000-0600-000004000000}">
      <formula1>"N/A,Tags,Log Message Source"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64"/>
  <sheetViews>
    <sheetView topLeftCell="A44" workbookViewId="0">
      <selection activeCell="D50" sqref="D50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377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378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379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380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56">
      <c r="A41" s="8" t="s">
        <v>48</v>
      </c>
      <c r="B41" s="11" t="s">
        <v>381</v>
      </c>
      <c r="C41" s="13" t="s">
        <v>1116</v>
      </c>
      <c r="D41" s="13" t="s">
        <v>1112</v>
      </c>
      <c r="E41" s="13" t="s">
        <v>1111</v>
      </c>
      <c r="F41" s="13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4" t="s">
        <v>23</v>
      </c>
      <c r="C45" s="14" t="s">
        <v>52</v>
      </c>
      <c r="D45" s="14" t="s">
        <v>53</v>
      </c>
      <c r="E45" s="10"/>
      <c r="F45" s="10"/>
      <c r="G45" s="10"/>
    </row>
    <row r="46" spans="1:8">
      <c r="A46" s="4" t="s">
        <v>54</v>
      </c>
      <c r="B46" s="4" t="s">
        <v>343</v>
      </c>
      <c r="C46" s="16">
        <v>43598</v>
      </c>
      <c r="D46" s="14"/>
      <c r="E46" s="10"/>
      <c r="F46" s="10"/>
      <c r="G46" s="10"/>
    </row>
    <row r="47" spans="1:8">
      <c r="A47" s="4" t="s">
        <v>56</v>
      </c>
      <c r="B47" s="4" t="s">
        <v>344</v>
      </c>
      <c r="C47" s="17">
        <v>0.59196759259259302</v>
      </c>
      <c r="D47" s="14"/>
      <c r="E47" s="10"/>
      <c r="F47" s="10"/>
      <c r="G47" s="10"/>
    </row>
    <row r="48" spans="1:8">
      <c r="A48" s="4" t="s">
        <v>58</v>
      </c>
      <c r="B48" s="4" t="s">
        <v>210</v>
      </c>
      <c r="C48" s="25" t="s">
        <v>1441</v>
      </c>
      <c r="D48" s="18" t="s">
        <v>67</v>
      </c>
      <c r="E48" s="10"/>
      <c r="F48" s="10"/>
      <c r="G48" s="10"/>
    </row>
    <row r="49" spans="1:8" ht="31.2">
      <c r="A49" s="4" t="s">
        <v>60</v>
      </c>
      <c r="B49" s="4" t="s">
        <v>286</v>
      </c>
      <c r="C49" s="5" t="s">
        <v>287</v>
      </c>
      <c r="D49" s="18" t="s">
        <v>63</v>
      </c>
      <c r="E49" s="10"/>
      <c r="F49" s="10"/>
      <c r="G49" s="10"/>
    </row>
    <row r="50" spans="1:8" ht="31.2">
      <c r="A50" s="4" t="s">
        <v>64</v>
      </c>
      <c r="B50" s="4" t="s">
        <v>382</v>
      </c>
      <c r="C50" s="5" t="s">
        <v>383</v>
      </c>
      <c r="D50" s="18"/>
      <c r="E50" s="10"/>
      <c r="F50" s="10"/>
      <c r="G50" s="10"/>
    </row>
    <row r="51" spans="1:8" ht="31.2">
      <c r="A51" s="4" t="s">
        <v>68</v>
      </c>
      <c r="B51" s="4" t="s">
        <v>384</v>
      </c>
      <c r="C51" s="5" t="s">
        <v>385</v>
      </c>
      <c r="D51" s="19" t="s">
        <v>71</v>
      </c>
      <c r="E51" s="10"/>
      <c r="F51" s="10"/>
      <c r="G51" s="10"/>
    </row>
    <row r="52" spans="1:8">
      <c r="A52" s="4" t="s">
        <v>72</v>
      </c>
      <c r="B52" s="4" t="s">
        <v>215</v>
      </c>
      <c r="C52" s="5" t="s">
        <v>258</v>
      </c>
      <c r="D52" s="19"/>
      <c r="E52" s="10"/>
      <c r="F52" s="10"/>
      <c r="G52" s="10"/>
    </row>
    <row r="53" spans="1:8">
      <c r="A53" s="4" t="s">
        <v>75</v>
      </c>
      <c r="B53" s="4" t="s">
        <v>216</v>
      </c>
      <c r="C53" s="5">
        <v>1.55778194667773E+18</v>
      </c>
      <c r="D53" s="14"/>
      <c r="E53" s="10"/>
      <c r="F53" s="10"/>
      <c r="G53" s="10"/>
    </row>
    <row r="54" spans="1:8">
      <c r="A54" s="4" t="s">
        <v>292</v>
      </c>
      <c r="B54" s="4" t="s">
        <v>293</v>
      </c>
      <c r="C54" s="5" t="s">
        <v>386</v>
      </c>
      <c r="D54" s="14"/>
      <c r="E54" s="10"/>
      <c r="F54" s="10"/>
      <c r="G54" s="10"/>
    </row>
    <row r="55" spans="1:8" ht="124.8">
      <c r="A55" s="4" t="s">
        <v>309</v>
      </c>
      <c r="B55" s="4" t="s">
        <v>310</v>
      </c>
      <c r="C55" s="5" t="s">
        <v>1119</v>
      </c>
      <c r="D55" s="19" t="s">
        <v>1115</v>
      </c>
      <c r="E55" s="10"/>
      <c r="F55" s="10"/>
      <c r="G55" s="10"/>
    </row>
    <row r="56" spans="1:8">
      <c r="A56" s="4" t="s">
        <v>1113</v>
      </c>
      <c r="B56" s="4"/>
      <c r="C56" s="5"/>
      <c r="D56" s="19"/>
      <c r="E56" s="10"/>
      <c r="F56" s="10"/>
      <c r="G56" s="10"/>
    </row>
    <row r="57" spans="1:8">
      <c r="A57" s="4" t="s">
        <v>1114</v>
      </c>
      <c r="B57" s="4"/>
      <c r="C57" s="5"/>
      <c r="D57" s="19"/>
      <c r="E57" s="10"/>
      <c r="F57" s="10"/>
      <c r="G57" s="10"/>
    </row>
    <row r="58" spans="1:8">
      <c r="A58" s="13"/>
      <c r="B58" s="10"/>
      <c r="C58" s="10"/>
      <c r="D58" s="10"/>
      <c r="E58" s="10"/>
      <c r="F58" s="10"/>
      <c r="G58" s="10"/>
      <c r="H58" s="10"/>
    </row>
    <row r="59" spans="1:8">
      <c r="A59" s="13"/>
      <c r="B59" s="10"/>
      <c r="C59" s="10"/>
      <c r="D59" s="10"/>
      <c r="E59" s="10"/>
      <c r="F59" s="10"/>
      <c r="G59" s="10"/>
      <c r="H59" s="10"/>
    </row>
    <row r="60" spans="1:8">
      <c r="A60" s="113" t="s">
        <v>196</v>
      </c>
      <c r="B60" s="113"/>
      <c r="C60" s="113"/>
      <c r="D60" s="113"/>
      <c r="E60" s="113"/>
      <c r="F60" s="113"/>
      <c r="G60" s="113"/>
      <c r="H60" s="113"/>
    </row>
    <row r="61" spans="1:8">
      <c r="A61" s="14" t="s">
        <v>1432</v>
      </c>
      <c r="B61" s="14" t="s">
        <v>197</v>
      </c>
      <c r="C61" s="14" t="s">
        <v>198</v>
      </c>
      <c r="D61" s="14" t="s">
        <v>199</v>
      </c>
      <c r="E61" s="14" t="s">
        <v>200</v>
      </c>
      <c r="F61" s="14" t="s">
        <v>202</v>
      </c>
      <c r="G61" s="14" t="s">
        <v>21</v>
      </c>
      <c r="H61" s="14" t="s">
        <v>203</v>
      </c>
    </row>
    <row r="62" spans="1:8" ht="31.2">
      <c r="A62" s="45">
        <v>20300</v>
      </c>
      <c r="B62" s="45"/>
      <c r="C62" s="45"/>
      <c r="D62" s="45"/>
      <c r="E62" s="45"/>
      <c r="F62" s="46" t="s">
        <v>1195</v>
      </c>
      <c r="G62" s="4" t="s">
        <v>379</v>
      </c>
      <c r="H62" s="46"/>
    </row>
    <row r="63" spans="1:8" ht="31.2">
      <c r="A63" s="45">
        <v>20301</v>
      </c>
      <c r="B63" s="34"/>
      <c r="C63" s="34"/>
      <c r="D63" s="34"/>
      <c r="E63" s="34"/>
      <c r="F63" s="34" t="s">
        <v>1196</v>
      </c>
      <c r="G63" s="4" t="s">
        <v>379</v>
      </c>
      <c r="H63" s="34"/>
    </row>
    <row r="64" spans="1:8" ht="31.2">
      <c r="A64" s="45">
        <v>20401</v>
      </c>
      <c r="B64" s="34"/>
      <c r="C64" s="34"/>
      <c r="D64" s="34"/>
      <c r="E64" s="34"/>
      <c r="F64" s="34" t="s">
        <v>1197</v>
      </c>
      <c r="G64" s="4" t="s">
        <v>379</v>
      </c>
      <c r="H64" s="34"/>
    </row>
  </sheetData>
  <mergeCells count="8">
    <mergeCell ref="A34:B34"/>
    <mergeCell ref="A44:D44"/>
    <mergeCell ref="A60:H60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700-000000000000}">
      <formula1>"Tags Normal,Tags Reversed,Local"</formula1>
    </dataValidation>
    <dataValidation type="list" allowBlank="1" showInputMessage="1" showErrorMessage="1" sqref="B29 B31 B33 B35 B19:B21" xr:uid="{00000000-0002-0000-0700-000001000000}">
      <formula1>"Checked,Unchecked"</formula1>
    </dataValidation>
    <dataValidation type="list" allowBlank="1" showInputMessage="1" showErrorMessage="1" sqref="B25" xr:uid="{00000000-0002-0000-0700-000002000000}">
      <formula1>"N/A,Tags Normal,Tags Reversed,Direct Assignment"</formula1>
    </dataValidation>
    <dataValidation type="list" allowBlank="1" showInputMessage="1" showErrorMessage="1" sqref="B37" xr:uid="{00000000-0002-0000-0700-000003000000}">
      <formula1>"JSON,XML,CEF,LEEF,Key-Value Pairs,Delimited,Limited Structure"</formula1>
    </dataValidation>
    <dataValidation type="list" allowBlank="1" showInputMessage="1" showErrorMessage="1" sqref="B23:B24" xr:uid="{00000000-0002-0000-0700-000004000000}">
      <formula1>"N/A,Tags,Log Message Source"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99"/>
  <sheetViews>
    <sheetView topLeftCell="A46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387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78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388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389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390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34">
      <c r="A41" s="8" t="s">
        <v>48</v>
      </c>
      <c r="B41" s="11" t="s">
        <v>391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4" t="s">
        <v>343</v>
      </c>
      <c r="C46" s="16">
        <v>43598</v>
      </c>
      <c r="D46" s="2"/>
      <c r="E46" s="10"/>
      <c r="F46" s="10"/>
      <c r="G46" s="10"/>
    </row>
    <row r="47" spans="1:8">
      <c r="A47" s="4" t="s">
        <v>56</v>
      </c>
      <c r="B47" s="4" t="s">
        <v>344</v>
      </c>
      <c r="C47" s="17">
        <v>0.59840277777777795</v>
      </c>
      <c r="D47" s="2"/>
      <c r="E47" s="10"/>
      <c r="F47" s="10"/>
      <c r="G47" s="10"/>
    </row>
    <row r="48" spans="1:8">
      <c r="A48" s="4" t="s">
        <v>58</v>
      </c>
      <c r="B48" s="4" t="s">
        <v>210</v>
      </c>
      <c r="C48" s="25" t="s">
        <v>1442</v>
      </c>
      <c r="D48" s="18" t="s">
        <v>67</v>
      </c>
      <c r="E48" s="10"/>
      <c r="F48" s="10"/>
      <c r="G48" s="10"/>
    </row>
    <row r="49" spans="1:7" ht="31.2">
      <c r="A49" s="4" t="s">
        <v>60</v>
      </c>
      <c r="B49" s="4" t="s">
        <v>286</v>
      </c>
      <c r="C49" s="5" t="s">
        <v>287</v>
      </c>
      <c r="D49" s="18" t="s">
        <v>63</v>
      </c>
      <c r="E49" s="10"/>
      <c r="F49" s="10"/>
      <c r="G49" s="10"/>
    </row>
    <row r="50" spans="1:7" ht="31.2">
      <c r="A50" s="4" t="s">
        <v>64</v>
      </c>
      <c r="B50" s="4" t="s">
        <v>392</v>
      </c>
      <c r="C50" s="5" t="s">
        <v>393</v>
      </c>
      <c r="D50" s="26"/>
      <c r="E50" s="10"/>
      <c r="F50" s="10"/>
      <c r="G50" s="10"/>
    </row>
    <row r="51" spans="1:7" ht="31.2">
      <c r="A51" s="4" t="s">
        <v>68</v>
      </c>
      <c r="B51" s="4" t="s">
        <v>214</v>
      </c>
      <c r="C51" s="5" t="s">
        <v>70</v>
      </c>
      <c r="D51" s="19" t="s">
        <v>71</v>
      </c>
      <c r="E51" s="10"/>
      <c r="F51" s="10"/>
      <c r="G51" s="10"/>
    </row>
    <row r="52" spans="1:7">
      <c r="A52" s="4" t="s">
        <v>72</v>
      </c>
      <c r="B52" s="4" t="s">
        <v>215</v>
      </c>
      <c r="C52" s="5" t="s">
        <v>258</v>
      </c>
      <c r="D52" s="14"/>
      <c r="E52" s="10"/>
      <c r="F52" s="10"/>
      <c r="G52" s="10"/>
    </row>
    <row r="53" spans="1:7">
      <c r="A53" s="4" t="s">
        <v>75</v>
      </c>
      <c r="B53" s="4" t="s">
        <v>216</v>
      </c>
      <c r="C53" s="5">
        <v>1.55778250272223E+18</v>
      </c>
      <c r="D53" s="14"/>
      <c r="E53" s="10"/>
      <c r="F53" s="10"/>
      <c r="G53" s="10"/>
    </row>
    <row r="54" spans="1:7">
      <c r="A54" s="4" t="s">
        <v>292</v>
      </c>
      <c r="B54" s="4" t="s">
        <v>293</v>
      </c>
      <c r="C54" s="5" t="s">
        <v>394</v>
      </c>
      <c r="D54" s="1"/>
      <c r="E54" s="10"/>
      <c r="F54" s="10"/>
      <c r="G54" s="10"/>
    </row>
    <row r="55" spans="1:7">
      <c r="A55" s="4" t="s">
        <v>309</v>
      </c>
      <c r="B55" s="4" t="s">
        <v>310</v>
      </c>
      <c r="C55" s="5" t="s">
        <v>395</v>
      </c>
      <c r="D55" s="1" t="s">
        <v>312</v>
      </c>
      <c r="E55" s="10"/>
      <c r="F55" s="10"/>
      <c r="G55" s="10"/>
    </row>
    <row r="56" spans="1:7" ht="31.2">
      <c r="A56" s="4" t="s">
        <v>119</v>
      </c>
      <c r="B56" s="4" t="s">
        <v>396</v>
      </c>
      <c r="C56" s="5" t="s">
        <v>397</v>
      </c>
      <c r="D56" s="1" t="s">
        <v>122</v>
      </c>
      <c r="E56" s="10"/>
      <c r="F56" s="10"/>
      <c r="G56" s="10"/>
    </row>
    <row r="57" spans="1:7">
      <c r="A57" s="4" t="s">
        <v>398</v>
      </c>
      <c r="B57" s="4" t="s">
        <v>399</v>
      </c>
      <c r="C57" s="5" t="s">
        <v>218</v>
      </c>
      <c r="D57" s="1" t="s">
        <v>94</v>
      </c>
      <c r="E57" s="10"/>
      <c r="F57" s="10"/>
      <c r="G57" s="10"/>
    </row>
    <row r="58" spans="1:7">
      <c r="A58" s="4" t="s">
        <v>400</v>
      </c>
      <c r="B58" s="4" t="s">
        <v>401</v>
      </c>
      <c r="C58" s="5" t="s">
        <v>402</v>
      </c>
      <c r="D58" s="1" t="s">
        <v>80</v>
      </c>
      <c r="E58" s="10"/>
      <c r="F58" s="10"/>
      <c r="G58" s="10"/>
    </row>
    <row r="59" spans="1:7">
      <c r="A59" s="4" t="s">
        <v>403</v>
      </c>
      <c r="B59" s="4" t="s">
        <v>404</v>
      </c>
      <c r="C59" s="5">
        <v>500</v>
      </c>
      <c r="D59" s="1" t="s">
        <v>97</v>
      </c>
      <c r="E59" s="10"/>
      <c r="F59" s="10"/>
      <c r="G59" s="10"/>
    </row>
    <row r="60" spans="1:7">
      <c r="A60" s="4" t="s">
        <v>405</v>
      </c>
      <c r="B60" s="4" t="s">
        <v>406</v>
      </c>
      <c r="C60" s="5">
        <v>500</v>
      </c>
      <c r="D60" s="1" t="s">
        <v>83</v>
      </c>
      <c r="E60" s="10"/>
      <c r="F60" s="10"/>
      <c r="G60" s="10"/>
    </row>
    <row r="61" spans="1:7">
      <c r="A61" s="4" t="s">
        <v>407</v>
      </c>
      <c r="B61" s="4" t="s">
        <v>408</v>
      </c>
      <c r="C61" s="5" t="s">
        <v>409</v>
      </c>
      <c r="D61" s="1"/>
      <c r="E61" s="10"/>
      <c r="F61" s="10"/>
      <c r="G61" s="10"/>
    </row>
    <row r="62" spans="1:7">
      <c r="A62" s="4" t="s">
        <v>410</v>
      </c>
      <c r="B62" s="4" t="s">
        <v>411</v>
      </c>
      <c r="C62" s="5" t="s">
        <v>412</v>
      </c>
      <c r="D62" s="1"/>
      <c r="E62" s="10"/>
      <c r="F62" s="10"/>
      <c r="G62" s="10"/>
    </row>
    <row r="63" spans="1:7">
      <c r="A63" s="4" t="s">
        <v>353</v>
      </c>
      <c r="B63" s="4" t="s">
        <v>413</v>
      </c>
      <c r="C63" s="5" t="s">
        <v>33</v>
      </c>
      <c r="D63" s="1" t="s">
        <v>356</v>
      </c>
      <c r="E63" s="10"/>
      <c r="F63" s="10"/>
      <c r="G63" s="10"/>
    </row>
    <row r="64" spans="1:7">
      <c r="A64" s="4" t="s">
        <v>414</v>
      </c>
      <c r="B64" s="4" t="s">
        <v>415</v>
      </c>
      <c r="C64" s="5" t="s">
        <v>33</v>
      </c>
      <c r="D64" s="1" t="s">
        <v>416</v>
      </c>
      <c r="E64" s="10"/>
      <c r="F64" s="10"/>
      <c r="G64" s="10"/>
    </row>
    <row r="65" spans="1:8" ht="31.2">
      <c r="A65" s="4" t="s">
        <v>417</v>
      </c>
      <c r="B65" s="4" t="s">
        <v>418</v>
      </c>
      <c r="C65" s="5" t="s">
        <v>33</v>
      </c>
      <c r="D65" s="1"/>
      <c r="E65" s="10"/>
      <c r="F65" s="10"/>
      <c r="G65" s="10"/>
    </row>
    <row r="66" spans="1:8" ht="31.2">
      <c r="A66" s="4" t="s">
        <v>419</v>
      </c>
      <c r="B66" s="4" t="s">
        <v>420</v>
      </c>
      <c r="C66" s="5" t="s">
        <v>33</v>
      </c>
      <c r="D66" s="1"/>
      <c r="E66" s="10"/>
      <c r="F66" s="10"/>
      <c r="G66" s="10"/>
    </row>
    <row r="67" spans="1:8">
      <c r="A67" s="4" t="s">
        <v>421</v>
      </c>
      <c r="B67" s="4" t="s">
        <v>422</v>
      </c>
      <c r="C67" s="5" t="s">
        <v>33</v>
      </c>
      <c r="D67" s="1"/>
      <c r="E67" s="10"/>
      <c r="F67" s="10"/>
      <c r="G67" s="10"/>
    </row>
    <row r="68" spans="1:8">
      <c r="A68" s="4" t="s">
        <v>423</v>
      </c>
      <c r="B68" s="4" t="s">
        <v>424</v>
      </c>
      <c r="C68" s="5" t="s">
        <v>425</v>
      </c>
      <c r="D68" s="1"/>
      <c r="E68" s="10"/>
      <c r="F68" s="10"/>
      <c r="G68" s="10"/>
    </row>
    <row r="69" spans="1:8">
      <c r="A69" s="4" t="s">
        <v>316</v>
      </c>
      <c r="B69" s="4" t="s">
        <v>426</v>
      </c>
      <c r="C69" s="5" t="s">
        <v>368</v>
      </c>
      <c r="D69" s="1" t="s">
        <v>319</v>
      </c>
      <c r="E69" s="10"/>
      <c r="F69" s="10"/>
      <c r="G69" s="10"/>
    </row>
    <row r="70" spans="1:8">
      <c r="A70" s="4" t="s">
        <v>427</v>
      </c>
      <c r="B70" s="4" t="s">
        <v>428</v>
      </c>
      <c r="C70" s="5" t="s">
        <v>213</v>
      </c>
      <c r="D70" s="1"/>
      <c r="E70" s="10"/>
      <c r="F70" s="10"/>
      <c r="G70" s="10"/>
    </row>
    <row r="71" spans="1:8">
      <c r="A71" s="4" t="s">
        <v>429</v>
      </c>
      <c r="B71" s="4" t="s">
        <v>430</v>
      </c>
      <c r="C71" s="5" t="s">
        <v>431</v>
      </c>
      <c r="D71" s="1"/>
      <c r="E71" s="10"/>
      <c r="F71" s="10"/>
      <c r="G71" s="10"/>
    </row>
    <row r="72" spans="1:8">
      <c r="A72" s="4" t="s">
        <v>432</v>
      </c>
      <c r="B72" s="4" t="s">
        <v>433</v>
      </c>
      <c r="C72" s="5" t="s">
        <v>434</v>
      </c>
      <c r="D72" s="1"/>
      <c r="E72" s="10"/>
      <c r="F72" s="10"/>
      <c r="G72" s="10"/>
    </row>
    <row r="73" spans="1:8">
      <c r="A73" s="4" t="s">
        <v>435</v>
      </c>
      <c r="B73" s="4" t="s">
        <v>436</v>
      </c>
      <c r="C73" s="5">
        <v>1</v>
      </c>
      <c r="D73" s="1"/>
      <c r="E73" s="10"/>
      <c r="F73" s="10"/>
      <c r="G73" s="10"/>
    </row>
    <row r="74" spans="1:8">
      <c r="A74" s="4" t="s">
        <v>437</v>
      </c>
      <c r="B74" s="4" t="s">
        <v>438</v>
      </c>
      <c r="C74" s="5" t="s">
        <v>439</v>
      </c>
      <c r="D74" s="1"/>
      <c r="E74" s="10"/>
      <c r="F74" s="10"/>
      <c r="G74" s="10"/>
    </row>
    <row r="75" spans="1:8">
      <c r="A75" s="4" t="s">
        <v>440</v>
      </c>
      <c r="B75" s="4" t="s">
        <v>441</v>
      </c>
      <c r="C75" s="5" t="s">
        <v>442</v>
      </c>
      <c r="D75" s="1" t="s">
        <v>443</v>
      </c>
      <c r="E75" s="10"/>
      <c r="F75" s="10"/>
      <c r="G75" s="10"/>
    </row>
    <row r="76" spans="1:8">
      <c r="A76" s="13"/>
      <c r="B76" s="10"/>
      <c r="C76" s="10"/>
      <c r="D76" s="10"/>
      <c r="E76" s="10"/>
      <c r="F76" s="10"/>
      <c r="G76" s="10"/>
      <c r="H76" s="10"/>
    </row>
    <row r="77" spans="1:8">
      <c r="A77" s="13"/>
      <c r="B77" s="10"/>
      <c r="C77" s="10"/>
      <c r="D77" s="10"/>
      <c r="E77" s="10"/>
      <c r="F77" s="10"/>
      <c r="G77" s="10"/>
      <c r="H77" s="10"/>
    </row>
    <row r="78" spans="1:8">
      <c r="A78" s="113" t="s">
        <v>196</v>
      </c>
      <c r="B78" s="113"/>
      <c r="C78" s="113"/>
      <c r="D78" s="113"/>
      <c r="E78" s="113"/>
      <c r="F78" s="113"/>
      <c r="G78" s="113"/>
      <c r="H78" s="113"/>
    </row>
    <row r="79" spans="1:8">
      <c r="A79" s="14" t="s">
        <v>1432</v>
      </c>
      <c r="B79" s="14" t="s">
        <v>197</v>
      </c>
      <c r="C79" s="14" t="s">
        <v>198</v>
      </c>
      <c r="D79" s="14" t="s">
        <v>199</v>
      </c>
      <c r="E79" s="14" t="s">
        <v>200</v>
      </c>
      <c r="F79" s="14" t="s">
        <v>202</v>
      </c>
      <c r="G79" s="14" t="s">
        <v>21</v>
      </c>
      <c r="H79" s="14" t="s">
        <v>203</v>
      </c>
    </row>
    <row r="80" spans="1:8">
      <c r="A80" s="19">
        <f>37124</f>
        <v>37124</v>
      </c>
      <c r="B80" s="19"/>
      <c r="C80" s="19"/>
      <c r="D80" s="19"/>
      <c r="E80" s="19"/>
      <c r="F80" s="4" t="s">
        <v>1198</v>
      </c>
      <c r="G80" s="4" t="s">
        <v>1666</v>
      </c>
      <c r="H80" s="4"/>
    </row>
    <row r="81" spans="1:8">
      <c r="A81" s="19">
        <f>37128</f>
        <v>37128</v>
      </c>
      <c r="B81" s="26"/>
      <c r="C81" s="26"/>
      <c r="D81" s="26"/>
      <c r="E81" s="26"/>
      <c r="F81" s="26" t="s">
        <v>1199</v>
      </c>
      <c r="G81" s="26" t="s">
        <v>1667</v>
      </c>
      <c r="H81" s="26"/>
    </row>
    <row r="82" spans="1:8">
      <c r="A82" s="19">
        <f>37130</f>
        <v>37130</v>
      </c>
      <c r="B82" s="26"/>
      <c r="C82" s="26"/>
      <c r="D82" s="26"/>
      <c r="E82" s="26"/>
      <c r="F82" s="26" t="s">
        <v>1200</v>
      </c>
      <c r="G82" s="26" t="s">
        <v>1667</v>
      </c>
      <c r="H82" s="26"/>
    </row>
    <row r="83" spans="1:8" ht="31.2">
      <c r="A83" s="19">
        <f>37141</f>
        <v>37141</v>
      </c>
      <c r="B83" s="26"/>
      <c r="C83" s="26"/>
      <c r="D83" s="26"/>
      <c r="E83" s="26"/>
      <c r="F83" s="26" t="s">
        <v>1201</v>
      </c>
      <c r="G83" s="3" t="s">
        <v>1668</v>
      </c>
      <c r="H83" s="26"/>
    </row>
    <row r="84" spans="1:8" ht="31.2">
      <c r="A84" s="19">
        <f>37186</f>
        <v>37186</v>
      </c>
      <c r="B84" s="26"/>
      <c r="C84" s="26"/>
      <c r="D84" s="26"/>
      <c r="E84" s="26"/>
      <c r="F84" s="26" t="s">
        <v>1202</v>
      </c>
      <c r="G84" s="3" t="s">
        <v>1669</v>
      </c>
      <c r="H84" s="26"/>
    </row>
    <row r="85" spans="1:8">
      <c r="A85" s="19">
        <f>37188</f>
        <v>37188</v>
      </c>
      <c r="B85" s="26"/>
      <c r="C85" s="26"/>
      <c r="D85" s="26"/>
      <c r="E85" s="26"/>
      <c r="F85" s="26" t="s">
        <v>1203</v>
      </c>
      <c r="G85" s="26" t="s">
        <v>1670</v>
      </c>
      <c r="H85" s="26"/>
    </row>
    <row r="86" spans="1:8" ht="31.2">
      <c r="A86" s="19">
        <f>37191</f>
        <v>37191</v>
      </c>
      <c r="B86" s="26"/>
      <c r="C86" s="26"/>
      <c r="D86" s="26"/>
      <c r="E86" s="26"/>
      <c r="F86" s="26" t="s">
        <v>1204</v>
      </c>
      <c r="G86" s="3" t="s">
        <v>1671</v>
      </c>
      <c r="H86" s="26"/>
    </row>
    <row r="87" spans="1:8">
      <c r="A87" s="19">
        <f>37192</f>
        <v>37192</v>
      </c>
      <c r="B87" s="26"/>
      <c r="C87" s="26"/>
      <c r="D87" s="26"/>
      <c r="E87" s="26"/>
      <c r="F87" s="26" t="s">
        <v>1205</v>
      </c>
      <c r="G87" s="26" t="s">
        <v>1667</v>
      </c>
      <c r="H87" s="26"/>
    </row>
    <row r="88" spans="1:8" ht="31.2">
      <c r="A88" s="19">
        <f>37193</f>
        <v>37193</v>
      </c>
      <c r="B88" s="26"/>
      <c r="C88" s="26"/>
      <c r="D88" s="26"/>
      <c r="E88" s="26"/>
      <c r="F88" s="26" t="s">
        <v>1206</v>
      </c>
      <c r="G88" s="3" t="s">
        <v>1671</v>
      </c>
      <c r="H88" s="26"/>
    </row>
    <row r="89" spans="1:8" ht="31.2">
      <c r="A89" s="19">
        <f>37197</f>
        <v>37197</v>
      </c>
      <c r="B89" s="26"/>
      <c r="C89" s="26"/>
      <c r="D89" s="26"/>
      <c r="E89" s="26"/>
      <c r="F89" s="26" t="s">
        <v>1207</v>
      </c>
      <c r="G89" s="3" t="s">
        <v>1672</v>
      </c>
      <c r="H89" s="26"/>
    </row>
    <row r="90" spans="1:8" ht="31.2">
      <c r="A90" s="19">
        <f>37204</f>
        <v>37204</v>
      </c>
      <c r="B90" s="26"/>
      <c r="C90" s="26"/>
      <c r="D90" s="26"/>
      <c r="E90" s="26"/>
      <c r="F90" s="26" t="s">
        <v>1208</v>
      </c>
      <c r="G90" s="3" t="s">
        <v>1671</v>
      </c>
      <c r="H90" s="26"/>
    </row>
    <row r="91" spans="1:8" ht="31.2">
      <c r="A91" s="19">
        <f>39424</f>
        <v>39424</v>
      </c>
      <c r="B91" s="26"/>
      <c r="C91" s="26"/>
      <c r="D91" s="26"/>
      <c r="E91" s="26"/>
      <c r="F91" s="26" t="s">
        <v>1209</v>
      </c>
      <c r="G91" s="3" t="s">
        <v>1673</v>
      </c>
      <c r="H91" s="26"/>
    </row>
    <row r="92" spans="1:8">
      <c r="A92" s="19">
        <f>39425</f>
        <v>39425</v>
      </c>
      <c r="B92" s="26"/>
      <c r="C92" s="26"/>
      <c r="D92" s="26"/>
      <c r="E92" s="26"/>
      <c r="F92" s="26" t="s">
        <v>1210</v>
      </c>
      <c r="G92" s="26" t="s">
        <v>1674</v>
      </c>
      <c r="H92" s="26"/>
    </row>
    <row r="93" spans="1:8" ht="31.2">
      <c r="A93" s="19">
        <f>39426</f>
        <v>39426</v>
      </c>
      <c r="B93" s="26"/>
      <c r="C93" s="26"/>
      <c r="D93" s="26"/>
      <c r="E93" s="26"/>
      <c r="F93" s="26" t="s">
        <v>1211</v>
      </c>
      <c r="G93" s="3" t="s">
        <v>1652</v>
      </c>
      <c r="H93" s="26"/>
    </row>
    <row r="94" spans="1:8">
      <c r="A94" s="19">
        <f>39942</f>
        <v>39942</v>
      </c>
      <c r="B94" s="26"/>
      <c r="C94" s="26"/>
      <c r="D94" s="26"/>
      <c r="E94" s="26"/>
      <c r="F94" s="26" t="s">
        <v>1212</v>
      </c>
      <c r="G94" s="26" t="s">
        <v>1675</v>
      </c>
      <c r="H94" s="26"/>
    </row>
    <row r="95" spans="1:8" ht="31.2">
      <c r="A95" s="19">
        <f>39943</f>
        <v>39943</v>
      </c>
      <c r="B95" s="26"/>
      <c r="C95" s="26"/>
      <c r="D95" s="26"/>
      <c r="E95" s="26"/>
      <c r="F95" s="26" t="s">
        <v>1213</v>
      </c>
      <c r="G95" s="3" t="s">
        <v>1676</v>
      </c>
      <c r="H95" s="26"/>
    </row>
    <row r="96" spans="1:8" ht="31.2">
      <c r="A96" s="19">
        <f>39947</f>
        <v>39947</v>
      </c>
      <c r="B96" s="26"/>
      <c r="C96" s="26"/>
      <c r="D96" s="26"/>
      <c r="E96" s="26"/>
      <c r="F96" s="26" t="s">
        <v>1214</v>
      </c>
      <c r="G96" s="3" t="s">
        <v>1676</v>
      </c>
      <c r="H96" s="26"/>
    </row>
    <row r="97" spans="1:8">
      <c r="A97" s="19">
        <f>39948</f>
        <v>39948</v>
      </c>
      <c r="B97" s="26"/>
      <c r="C97" s="26"/>
      <c r="D97" s="26"/>
      <c r="E97" s="26"/>
      <c r="F97" s="26" t="s">
        <v>1215</v>
      </c>
      <c r="G97" s="26" t="s">
        <v>1674</v>
      </c>
      <c r="H97" s="26"/>
    </row>
    <row r="98" spans="1:8" ht="31.2">
      <c r="A98" s="19">
        <f>39949</f>
        <v>39949</v>
      </c>
      <c r="B98" s="26"/>
      <c r="C98" s="26"/>
      <c r="D98" s="26"/>
      <c r="E98" s="26"/>
      <c r="F98" s="26" t="s">
        <v>1216</v>
      </c>
      <c r="G98" s="3" t="s">
        <v>389</v>
      </c>
      <c r="H98" s="26"/>
    </row>
    <row r="99" spans="1:8">
      <c r="A99" s="19">
        <f>41986</f>
        <v>41986</v>
      </c>
      <c r="B99" s="26"/>
      <c r="C99" s="26"/>
      <c r="D99" s="26"/>
      <c r="E99" s="26"/>
      <c r="F99" s="26" t="s">
        <v>1217</v>
      </c>
      <c r="G99" s="26" t="s">
        <v>1677</v>
      </c>
      <c r="H99" s="26"/>
    </row>
  </sheetData>
  <mergeCells count="8">
    <mergeCell ref="A34:B34"/>
    <mergeCell ref="A44:D44"/>
    <mergeCell ref="A78:H78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800-000000000000}">
      <formula1>"Tags Normal,Tags Reversed,Local"</formula1>
    </dataValidation>
    <dataValidation type="list" allowBlank="1" showInputMessage="1" showErrorMessage="1" sqref="B29 B31 B33 B35 B19:B21" xr:uid="{00000000-0002-0000-0800-000001000000}">
      <formula1>"Checked,Unchecked"</formula1>
    </dataValidation>
    <dataValidation type="list" allowBlank="1" showInputMessage="1" showErrorMessage="1" sqref="B25" xr:uid="{00000000-0002-0000-0800-000002000000}">
      <formula1>"N/A,Tags Normal,Tags Reversed,Direct Assignment"</formula1>
    </dataValidation>
    <dataValidation type="list" allowBlank="1" showInputMessage="1" showErrorMessage="1" sqref="B37" xr:uid="{00000000-0002-0000-0800-000003000000}">
      <formula1>"JSON,XML,CEF,LEEF,Key-Value Pairs,Delimited,Limited Structure"</formula1>
    </dataValidation>
    <dataValidation type="list" allowBlank="1" showInputMessage="1" showErrorMessage="1" sqref="B23:B24" xr:uid="{00000000-0002-0000-0800-000004000000}">
      <formula1>"N/A,Tags,Log Message Source"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H76"/>
  <sheetViews>
    <sheetView topLeftCell="E66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444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445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446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447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71.6">
      <c r="A41" s="8" t="s">
        <v>48</v>
      </c>
      <c r="B41" s="11" t="s">
        <v>448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343</v>
      </c>
      <c r="C46" s="47">
        <v>43598</v>
      </c>
      <c r="D46" s="2"/>
      <c r="E46" s="10"/>
      <c r="F46" s="10"/>
      <c r="G46" s="10"/>
    </row>
    <row r="47" spans="1:8">
      <c r="A47" s="46" t="s">
        <v>56</v>
      </c>
      <c r="B47" s="46" t="s">
        <v>344</v>
      </c>
      <c r="C47" s="48">
        <v>0.66384259259259304</v>
      </c>
      <c r="D47" s="2"/>
      <c r="E47" s="10"/>
      <c r="F47" s="10"/>
      <c r="G47" s="10"/>
    </row>
    <row r="48" spans="1:8">
      <c r="A48" s="46" t="s">
        <v>58</v>
      </c>
      <c r="B48" s="46" t="s">
        <v>210</v>
      </c>
      <c r="C48" s="67" t="s">
        <v>1443</v>
      </c>
      <c r="D48" s="18" t="s">
        <v>67</v>
      </c>
      <c r="E48" s="10"/>
      <c r="F48" s="10"/>
      <c r="G48" s="10"/>
    </row>
    <row r="49" spans="1:7" ht="31.2">
      <c r="A49" s="46" t="s">
        <v>60</v>
      </c>
      <c r="B49" s="46" t="s">
        <v>286</v>
      </c>
      <c r="C49" s="41" t="s">
        <v>287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46" t="s">
        <v>449</v>
      </c>
      <c r="C50" s="41" t="s">
        <v>353</v>
      </c>
      <c r="D50" s="34"/>
      <c r="E50" s="10"/>
      <c r="F50" s="10"/>
      <c r="G50" s="10"/>
    </row>
    <row r="51" spans="1:7" ht="31.2">
      <c r="A51" s="46" t="s">
        <v>68</v>
      </c>
      <c r="B51" s="46" t="s">
        <v>214</v>
      </c>
      <c r="C51" s="41" t="s">
        <v>70</v>
      </c>
      <c r="D51" s="45" t="s">
        <v>71</v>
      </c>
      <c r="E51" s="10"/>
      <c r="F51" s="10"/>
      <c r="G51" s="10"/>
    </row>
    <row r="52" spans="1:7">
      <c r="A52" s="46" t="s">
        <v>72</v>
      </c>
      <c r="B52" s="46" t="s">
        <v>215</v>
      </c>
      <c r="C52" s="41" t="s">
        <v>258</v>
      </c>
      <c r="D52" s="2"/>
      <c r="E52" s="10"/>
      <c r="F52" s="10"/>
      <c r="G52" s="10"/>
    </row>
    <row r="53" spans="1:7">
      <c r="A53" s="46" t="s">
        <v>75</v>
      </c>
      <c r="B53" s="46" t="s">
        <v>216</v>
      </c>
      <c r="C53" s="41">
        <v>1.5577881569137999E+18</v>
      </c>
      <c r="D53" s="2"/>
      <c r="E53" s="10"/>
      <c r="F53" s="10"/>
      <c r="G53" s="10"/>
    </row>
    <row r="54" spans="1:7">
      <c r="A54" s="46" t="s">
        <v>292</v>
      </c>
      <c r="B54" s="46" t="s">
        <v>293</v>
      </c>
      <c r="C54" s="41" t="s">
        <v>450</v>
      </c>
      <c r="D54" s="49"/>
      <c r="E54" s="10"/>
      <c r="F54" s="10"/>
      <c r="G54" s="10"/>
    </row>
    <row r="55" spans="1:7">
      <c r="A55" s="46" t="s">
        <v>77</v>
      </c>
      <c r="B55" s="46" t="s">
        <v>363</v>
      </c>
      <c r="C55" s="41" t="s">
        <v>218</v>
      </c>
      <c r="D55" s="49" t="s">
        <v>80</v>
      </c>
      <c r="E55" s="10"/>
      <c r="F55" s="10"/>
      <c r="G55" s="10"/>
    </row>
    <row r="56" spans="1:7">
      <c r="A56" s="46" t="s">
        <v>91</v>
      </c>
      <c r="B56" s="46" t="s">
        <v>364</v>
      </c>
      <c r="C56" s="41" t="s">
        <v>221</v>
      </c>
      <c r="D56" s="49" t="s">
        <v>94</v>
      </c>
      <c r="E56" s="10"/>
      <c r="F56" s="10"/>
      <c r="G56" s="10"/>
    </row>
    <row r="57" spans="1:7" ht="31.2">
      <c r="A57" s="46" t="s">
        <v>123</v>
      </c>
      <c r="B57" s="46" t="s">
        <v>451</v>
      </c>
      <c r="C57" s="41">
        <v>1</v>
      </c>
      <c r="D57" s="49"/>
      <c r="E57" s="10"/>
      <c r="F57" s="10"/>
      <c r="G57" s="10"/>
    </row>
    <row r="58" spans="1:7" ht="31.2">
      <c r="A58" s="46" t="s">
        <v>313</v>
      </c>
      <c r="B58" s="46" t="s">
        <v>452</v>
      </c>
      <c r="C58" s="41" t="s">
        <v>453</v>
      </c>
      <c r="D58" s="49" t="s">
        <v>87</v>
      </c>
      <c r="E58" s="10"/>
      <c r="F58" s="10"/>
      <c r="G58" s="10"/>
    </row>
    <row r="59" spans="1:7">
      <c r="A59" s="46" t="s">
        <v>353</v>
      </c>
      <c r="B59" s="46" t="s">
        <v>454</v>
      </c>
      <c r="C59" s="41" t="s">
        <v>455</v>
      </c>
      <c r="D59" s="49" t="s">
        <v>356</v>
      </c>
      <c r="E59" s="10"/>
      <c r="F59" s="10"/>
      <c r="G59" s="10"/>
    </row>
    <row r="60" spans="1:7">
      <c r="A60" s="46" t="s">
        <v>414</v>
      </c>
      <c r="B60" s="46" t="s">
        <v>456</v>
      </c>
      <c r="C60" s="41" t="s">
        <v>457</v>
      </c>
      <c r="D60" s="49" t="s">
        <v>416</v>
      </c>
      <c r="E60" s="10"/>
      <c r="F60" s="10"/>
      <c r="G60" s="10"/>
    </row>
    <row r="61" spans="1:7">
      <c r="A61" s="46" t="s">
        <v>458</v>
      </c>
      <c r="B61" s="46" t="s">
        <v>459</v>
      </c>
      <c r="C61" s="41" t="s">
        <v>460</v>
      </c>
      <c r="D61" s="49"/>
      <c r="E61" s="10"/>
      <c r="F61" s="10"/>
      <c r="G61" s="10"/>
    </row>
    <row r="62" spans="1:7" ht="31.2">
      <c r="A62" s="46" t="s">
        <v>119</v>
      </c>
      <c r="B62" s="46" t="s">
        <v>461</v>
      </c>
      <c r="C62" s="41" t="s">
        <v>462</v>
      </c>
      <c r="D62" s="49" t="s">
        <v>122</v>
      </c>
      <c r="E62" s="10"/>
      <c r="F62" s="10"/>
      <c r="G62" s="10"/>
    </row>
    <row r="63" spans="1:7">
      <c r="A63" s="46" t="s">
        <v>316</v>
      </c>
      <c r="B63" s="46" t="s">
        <v>463</v>
      </c>
      <c r="C63" s="41" t="s">
        <v>368</v>
      </c>
      <c r="D63" s="49" t="s">
        <v>319</v>
      </c>
      <c r="E63" s="10"/>
      <c r="F63" s="10"/>
      <c r="G63" s="10"/>
    </row>
    <row r="64" spans="1:7">
      <c r="A64" s="46" t="s">
        <v>369</v>
      </c>
      <c r="B64" s="46" t="s">
        <v>464</v>
      </c>
      <c r="C64" s="41" t="s">
        <v>33</v>
      </c>
      <c r="D64" s="49" t="s">
        <v>372</v>
      </c>
      <c r="E64" s="10"/>
      <c r="F64" s="10"/>
      <c r="G64" s="10"/>
    </row>
    <row r="65" spans="1:8">
      <c r="A65" s="46" t="s">
        <v>309</v>
      </c>
      <c r="B65" s="46" t="s">
        <v>310</v>
      </c>
      <c r="C65" s="41" t="s">
        <v>465</v>
      </c>
      <c r="D65" s="49" t="s">
        <v>312</v>
      </c>
      <c r="E65" s="10"/>
      <c r="F65" s="10"/>
      <c r="G65" s="10"/>
    </row>
    <row r="66" spans="1:8">
      <c r="A66" s="13"/>
      <c r="B66" s="10"/>
      <c r="C66" s="10"/>
      <c r="D66" s="10"/>
      <c r="E66" s="10"/>
      <c r="F66" s="10"/>
      <c r="G66" s="10"/>
      <c r="H66" s="10"/>
    </row>
    <row r="67" spans="1:8">
      <c r="A67" s="13"/>
      <c r="B67" s="10"/>
      <c r="C67" s="10"/>
      <c r="D67" s="10"/>
      <c r="E67" s="10"/>
      <c r="F67" s="10"/>
      <c r="G67" s="10"/>
      <c r="H67" s="10"/>
    </row>
    <row r="68" spans="1:8">
      <c r="A68" s="113" t="s">
        <v>196</v>
      </c>
      <c r="B68" s="113"/>
      <c r="C68" s="113"/>
      <c r="D68" s="113"/>
      <c r="E68" s="113"/>
      <c r="F68" s="113"/>
      <c r="G68" s="113"/>
      <c r="H68" s="113"/>
    </row>
    <row r="69" spans="1:8">
      <c r="A69" s="14" t="s">
        <v>1432</v>
      </c>
      <c r="B69" s="14" t="s">
        <v>197</v>
      </c>
      <c r="C69" s="14" t="s">
        <v>198</v>
      </c>
      <c r="D69" s="14" t="s">
        <v>199</v>
      </c>
      <c r="E69" s="14" t="s">
        <v>200</v>
      </c>
      <c r="F69" s="14" t="s">
        <v>202</v>
      </c>
      <c r="G69" s="14" t="s">
        <v>21</v>
      </c>
      <c r="H69" s="14" t="s">
        <v>203</v>
      </c>
    </row>
    <row r="70" spans="1:8" ht="31.2">
      <c r="A70" s="45">
        <v>38033</v>
      </c>
      <c r="B70" s="45"/>
      <c r="C70" s="45"/>
      <c r="D70" s="45"/>
      <c r="E70" s="45"/>
      <c r="F70" s="50" t="s">
        <v>1218</v>
      </c>
      <c r="G70" s="4" t="s">
        <v>1219</v>
      </c>
      <c r="H70" s="46"/>
    </row>
    <row r="71" spans="1:8">
      <c r="A71" s="45">
        <v>43011</v>
      </c>
      <c r="B71" s="34"/>
      <c r="C71" s="34"/>
      <c r="D71" s="34"/>
      <c r="E71" s="34"/>
      <c r="F71" s="50" t="s">
        <v>1220</v>
      </c>
      <c r="G71" s="26" t="s">
        <v>1221</v>
      </c>
      <c r="H71" s="34"/>
    </row>
    <row r="72" spans="1:8">
      <c r="A72" s="45">
        <v>43014</v>
      </c>
      <c r="B72" s="34"/>
      <c r="C72" s="34"/>
      <c r="D72" s="34"/>
      <c r="E72" s="34"/>
      <c r="F72" s="50" t="s">
        <v>1222</v>
      </c>
      <c r="G72" s="26" t="s">
        <v>1223</v>
      </c>
      <c r="H72" s="34"/>
    </row>
    <row r="73" spans="1:8">
      <c r="A73" s="45">
        <v>43015</v>
      </c>
      <c r="B73" s="34"/>
      <c r="C73" s="34"/>
      <c r="D73" s="34"/>
      <c r="E73" s="34"/>
      <c r="F73" s="50" t="s">
        <v>1224</v>
      </c>
      <c r="G73" s="26" t="s">
        <v>1225</v>
      </c>
      <c r="H73" s="34"/>
    </row>
    <row r="74" spans="1:8">
      <c r="A74" s="45">
        <v>43039</v>
      </c>
      <c r="B74" s="34"/>
      <c r="C74" s="34"/>
      <c r="D74" s="34"/>
      <c r="E74" s="34"/>
      <c r="F74" s="50" t="s">
        <v>1226</v>
      </c>
      <c r="G74" s="26" t="s">
        <v>1223</v>
      </c>
      <c r="H74" s="34"/>
    </row>
    <row r="75" spans="1:8">
      <c r="A75" s="45">
        <v>43040</v>
      </c>
      <c r="B75" s="34"/>
      <c r="C75" s="34"/>
      <c r="D75" s="34"/>
      <c r="E75" s="34"/>
      <c r="F75" s="50" t="s">
        <v>1227</v>
      </c>
      <c r="G75" s="26" t="s">
        <v>1225</v>
      </c>
      <c r="H75" s="34"/>
    </row>
    <row r="76" spans="1:8">
      <c r="A76" s="45">
        <v>43020</v>
      </c>
      <c r="B76" s="34"/>
      <c r="C76" s="34"/>
      <c r="D76" s="34"/>
      <c r="E76" s="34"/>
      <c r="F76" s="50" t="s">
        <v>1228</v>
      </c>
      <c r="G76" s="26" t="s">
        <v>1229</v>
      </c>
      <c r="H76" s="34"/>
    </row>
  </sheetData>
  <mergeCells count="8">
    <mergeCell ref="A34:B34"/>
    <mergeCell ref="A44:D44"/>
    <mergeCell ref="A68:H68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900-000000000000}">
      <formula1>"Tags Normal,Tags Reversed,Local"</formula1>
    </dataValidation>
    <dataValidation type="list" allowBlank="1" showInputMessage="1" showErrorMessage="1" sqref="B29 B31 B33 B35 B19:B21" xr:uid="{00000000-0002-0000-0900-000001000000}">
      <formula1>"Checked,Unchecked"</formula1>
    </dataValidation>
    <dataValidation type="list" allowBlank="1" showInputMessage="1" showErrorMessage="1" sqref="B25" xr:uid="{00000000-0002-0000-0900-000002000000}">
      <formula1>"N/A,Tags Normal,Tags Reversed,Direct Assignment"</formula1>
    </dataValidation>
    <dataValidation type="list" allowBlank="1" showInputMessage="1" showErrorMessage="1" sqref="B37" xr:uid="{00000000-0002-0000-0900-000003000000}">
      <formula1>"JSON,XML,CEF,LEEF,Key-Value Pairs,Delimited,Limited Structure"</formula1>
    </dataValidation>
    <dataValidation type="list" allowBlank="1" showInputMessage="1" showErrorMessage="1" sqref="B23:B24" xr:uid="{00000000-0002-0000-0900-000004000000}">
      <formula1>"N/A,Tags,Log Message Source"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H71"/>
  <sheetViews>
    <sheetView topLeftCell="F60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466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467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468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469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87.2">
      <c r="A41" s="8" t="s">
        <v>48</v>
      </c>
      <c r="B41" s="11" t="s">
        <v>470</v>
      </c>
      <c r="C41" s="13" t="s">
        <v>471</v>
      </c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68" t="s">
        <v>343</v>
      </c>
      <c r="C46" s="47">
        <v>43599</v>
      </c>
      <c r="D46" s="2"/>
      <c r="E46" s="10"/>
      <c r="F46" s="10"/>
      <c r="G46" s="10"/>
    </row>
    <row r="47" spans="1:8">
      <c r="A47" s="46" t="s">
        <v>56</v>
      </c>
      <c r="B47" s="68" t="s">
        <v>344</v>
      </c>
      <c r="C47" s="48">
        <v>0.35570601851851902</v>
      </c>
      <c r="D47" s="2"/>
      <c r="E47" s="10"/>
      <c r="F47" s="10"/>
      <c r="G47" s="10"/>
    </row>
    <row r="48" spans="1:8">
      <c r="A48" s="46" t="s">
        <v>58</v>
      </c>
      <c r="B48" s="68" t="s">
        <v>210</v>
      </c>
      <c r="C48" s="67" t="s">
        <v>1444</v>
      </c>
      <c r="D48" s="18" t="s">
        <v>67</v>
      </c>
      <c r="E48" s="10"/>
      <c r="F48" s="10"/>
      <c r="G48" s="10"/>
    </row>
    <row r="49" spans="1:7" ht="31.2">
      <c r="A49" s="46" t="s">
        <v>60</v>
      </c>
      <c r="B49" s="68" t="s">
        <v>286</v>
      </c>
      <c r="C49" s="41" t="s">
        <v>287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68" t="s">
        <v>472</v>
      </c>
      <c r="C50" s="41" t="s">
        <v>473</v>
      </c>
      <c r="D50" s="34"/>
      <c r="E50" s="10"/>
      <c r="F50" s="10"/>
      <c r="G50" s="10"/>
    </row>
    <row r="51" spans="1:7" ht="31.2">
      <c r="A51" s="46" t="s">
        <v>68</v>
      </c>
      <c r="B51" s="68" t="s">
        <v>347</v>
      </c>
      <c r="C51" s="41" t="s">
        <v>348</v>
      </c>
      <c r="D51" s="45" t="s">
        <v>71</v>
      </c>
      <c r="E51" s="10"/>
      <c r="F51" s="10"/>
      <c r="G51" s="10"/>
    </row>
    <row r="52" spans="1:7">
      <c r="A52" s="46" t="s">
        <v>72</v>
      </c>
      <c r="B52" s="68" t="s">
        <v>215</v>
      </c>
      <c r="C52" s="41" t="s">
        <v>258</v>
      </c>
      <c r="D52" s="2"/>
      <c r="E52" s="10"/>
      <c r="F52" s="10"/>
      <c r="G52" s="10"/>
    </row>
    <row r="53" spans="1:7">
      <c r="A53" s="46" t="s">
        <v>75</v>
      </c>
      <c r="B53" s="68" t="s">
        <v>216</v>
      </c>
      <c r="C53" s="41">
        <v>1.5578479339007601E+18</v>
      </c>
      <c r="D53" s="2"/>
      <c r="E53" s="10"/>
      <c r="F53" s="10"/>
      <c r="G53" s="10"/>
    </row>
    <row r="54" spans="1:7">
      <c r="A54" s="46" t="s">
        <v>292</v>
      </c>
      <c r="B54" s="68" t="s">
        <v>293</v>
      </c>
      <c r="C54" s="41" t="s">
        <v>474</v>
      </c>
      <c r="D54" s="2"/>
      <c r="E54" s="10"/>
      <c r="F54" s="10"/>
      <c r="G54" s="10"/>
    </row>
    <row r="55" spans="1:7" ht="31.2">
      <c r="A55" s="46" t="s">
        <v>119</v>
      </c>
      <c r="B55" s="68" t="s">
        <v>475</v>
      </c>
      <c r="C55" s="41" t="s">
        <v>476</v>
      </c>
      <c r="D55" s="49" t="s">
        <v>477</v>
      </c>
      <c r="E55" s="10"/>
      <c r="F55" s="10"/>
      <c r="G55" s="10"/>
    </row>
    <row r="56" spans="1:7" ht="31.2">
      <c r="A56" s="46" t="s">
        <v>316</v>
      </c>
      <c r="B56" s="68" t="s">
        <v>478</v>
      </c>
      <c r="C56" s="41" t="s">
        <v>368</v>
      </c>
      <c r="D56" s="49" t="s">
        <v>319</v>
      </c>
      <c r="E56" s="10"/>
      <c r="F56" s="10"/>
      <c r="G56" s="10"/>
    </row>
    <row r="57" spans="1:7" ht="31.2">
      <c r="A57" s="46" t="s">
        <v>479</v>
      </c>
      <c r="B57" s="68" t="s">
        <v>480</v>
      </c>
      <c r="C57" s="41" t="s">
        <v>481</v>
      </c>
      <c r="D57" s="49"/>
      <c r="E57" s="10"/>
      <c r="F57" s="10"/>
      <c r="G57" s="10"/>
    </row>
    <row r="58" spans="1:7" ht="31.2">
      <c r="A58" s="46" t="s">
        <v>482</v>
      </c>
      <c r="B58" s="68" t="s">
        <v>483</v>
      </c>
      <c r="C58" s="41">
        <v>4</v>
      </c>
      <c r="D58" s="49"/>
      <c r="E58" s="10"/>
      <c r="F58" s="10"/>
      <c r="G58" s="10"/>
    </row>
    <row r="59" spans="1:7">
      <c r="A59" s="46" t="s">
        <v>484</v>
      </c>
      <c r="B59" s="68" t="s">
        <v>485</v>
      </c>
      <c r="C59" s="41" t="s">
        <v>486</v>
      </c>
      <c r="D59" s="49" t="s">
        <v>298</v>
      </c>
      <c r="E59" s="10"/>
      <c r="F59" s="10"/>
      <c r="G59" s="10"/>
    </row>
    <row r="60" spans="1:7">
      <c r="A60" s="46" t="s">
        <v>487</v>
      </c>
      <c r="B60" s="68" t="s">
        <v>488</v>
      </c>
      <c r="C60" s="41">
        <v>1</v>
      </c>
      <c r="D60" s="49" t="s">
        <v>181</v>
      </c>
      <c r="E60" s="10"/>
      <c r="F60" s="10"/>
      <c r="G60" s="10"/>
    </row>
    <row r="61" spans="1:7" ht="31.2">
      <c r="A61" s="46" t="s">
        <v>353</v>
      </c>
      <c r="B61" s="68" t="s">
        <v>489</v>
      </c>
      <c r="C61" s="41" t="s">
        <v>490</v>
      </c>
      <c r="D61" s="49" t="s">
        <v>356</v>
      </c>
      <c r="E61" s="10"/>
      <c r="F61" s="10"/>
      <c r="G61" s="10"/>
    </row>
    <row r="62" spans="1:7">
      <c r="A62" s="46" t="s">
        <v>491</v>
      </c>
      <c r="B62" s="68" t="s">
        <v>492</v>
      </c>
      <c r="C62" s="41" t="s">
        <v>218</v>
      </c>
      <c r="D62" s="49" t="s">
        <v>80</v>
      </c>
      <c r="E62" s="10"/>
      <c r="F62" s="10"/>
      <c r="G62" s="10"/>
    </row>
    <row r="63" spans="1:7">
      <c r="A63" s="46" t="s">
        <v>493</v>
      </c>
      <c r="B63" s="68" t="s">
        <v>494</v>
      </c>
      <c r="C63" s="41" t="s">
        <v>495</v>
      </c>
      <c r="D63" s="49" t="s">
        <v>496</v>
      </c>
      <c r="E63" s="10"/>
      <c r="F63" s="10"/>
      <c r="G63" s="10"/>
    </row>
    <row r="64" spans="1:7">
      <c r="A64" s="46" t="s">
        <v>497</v>
      </c>
      <c r="B64" s="68" t="s">
        <v>498</v>
      </c>
      <c r="C64" s="41" t="s">
        <v>499</v>
      </c>
      <c r="D64" s="49" t="s">
        <v>302</v>
      </c>
      <c r="E64" s="10"/>
      <c r="F64" s="10"/>
      <c r="G64" s="10"/>
    </row>
    <row r="65" spans="1:8">
      <c r="A65" s="46" t="s">
        <v>309</v>
      </c>
      <c r="B65" s="68" t="s">
        <v>310</v>
      </c>
      <c r="C65" s="41" t="s">
        <v>500</v>
      </c>
      <c r="D65" s="49" t="s">
        <v>312</v>
      </c>
      <c r="E65" s="10"/>
      <c r="F65" s="10"/>
      <c r="G65" s="10"/>
    </row>
    <row r="66" spans="1:8">
      <c r="A66" s="13"/>
      <c r="B66" s="10"/>
      <c r="C66" s="10"/>
      <c r="D66" s="10"/>
      <c r="E66" s="10"/>
      <c r="F66" s="10"/>
      <c r="G66" s="10"/>
      <c r="H66" s="10"/>
    </row>
    <row r="67" spans="1:8">
      <c r="A67" s="13"/>
      <c r="B67" s="10"/>
      <c r="C67" s="10"/>
      <c r="D67" s="10"/>
      <c r="E67" s="10"/>
      <c r="F67" s="10"/>
      <c r="G67" s="10"/>
      <c r="H67" s="10"/>
    </row>
    <row r="68" spans="1:8">
      <c r="A68" s="113" t="s">
        <v>196</v>
      </c>
      <c r="B68" s="113"/>
      <c r="C68" s="113"/>
      <c r="D68" s="113"/>
      <c r="E68" s="113"/>
      <c r="F68" s="113"/>
      <c r="G68" s="113"/>
      <c r="H68" s="113"/>
    </row>
    <row r="69" spans="1:8">
      <c r="A69" s="14" t="s">
        <v>1432</v>
      </c>
      <c r="B69" s="14" t="s">
        <v>197</v>
      </c>
      <c r="C69" s="14" t="s">
        <v>198</v>
      </c>
      <c r="D69" s="14" t="s">
        <v>199</v>
      </c>
      <c r="E69" s="14" t="s">
        <v>200</v>
      </c>
      <c r="F69" s="14" t="s">
        <v>202</v>
      </c>
      <c r="G69" s="14" t="s">
        <v>21</v>
      </c>
      <c r="H69" s="14" t="s">
        <v>203</v>
      </c>
    </row>
    <row r="70" spans="1:8" ht="31.2">
      <c r="A70" s="45">
        <v>45057</v>
      </c>
      <c r="B70" s="19" t="s">
        <v>476</v>
      </c>
      <c r="C70" s="45"/>
      <c r="D70" s="45"/>
      <c r="E70" s="45"/>
      <c r="F70" s="4" t="s">
        <v>1230</v>
      </c>
      <c r="G70" s="4" t="s">
        <v>1231</v>
      </c>
      <c r="H70" s="46"/>
    </row>
    <row r="71" spans="1:8" ht="31.2">
      <c r="A71" s="45">
        <v>45058</v>
      </c>
      <c r="B71" s="19" t="s">
        <v>121</v>
      </c>
      <c r="C71" s="45"/>
      <c r="D71" s="34"/>
      <c r="E71" s="34"/>
      <c r="F71" s="26" t="s">
        <v>1232</v>
      </c>
      <c r="G71" s="3" t="s">
        <v>1233</v>
      </c>
      <c r="H71" s="34"/>
    </row>
  </sheetData>
  <mergeCells count="8">
    <mergeCell ref="A34:B34"/>
    <mergeCell ref="A44:D44"/>
    <mergeCell ref="A68:H68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A00-000000000000}">
      <formula1>"Tags Normal,Tags Reversed,Local"</formula1>
    </dataValidation>
    <dataValidation type="list" allowBlank="1" showInputMessage="1" showErrorMessage="1" sqref="B29 B31 B33 B35 B19:B21" xr:uid="{00000000-0002-0000-0A00-000001000000}">
      <formula1>"Checked,Unchecked"</formula1>
    </dataValidation>
    <dataValidation type="list" allowBlank="1" showInputMessage="1" showErrorMessage="1" sqref="B25" xr:uid="{00000000-0002-0000-0A00-000002000000}">
      <formula1>"N/A,Tags Normal,Tags Reversed,Direct Assignment"</formula1>
    </dataValidation>
    <dataValidation type="list" allowBlank="1" showInputMessage="1" showErrorMessage="1" sqref="B37" xr:uid="{00000000-0002-0000-0A00-000003000000}">
      <formula1>"JSON,XML,CEF,LEEF,Key-Value Pairs,Delimited,Limited Structure"</formula1>
    </dataValidation>
    <dataValidation type="list" allowBlank="1" showInputMessage="1" showErrorMessage="1" sqref="B23:B24" xr:uid="{00000000-0002-0000-0A00-000004000000}">
      <formula1>"N/A,Tags,Log Message Source"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H64"/>
  <sheetViews>
    <sheetView topLeftCell="A57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501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502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503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504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24.8">
      <c r="A41" s="8" t="s">
        <v>48</v>
      </c>
      <c r="B41" s="11" t="s">
        <v>505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68" t="s">
        <v>343</v>
      </c>
      <c r="C46" s="47">
        <v>43595</v>
      </c>
      <c r="D46" s="2"/>
      <c r="E46" s="10"/>
      <c r="F46" s="10"/>
      <c r="G46" s="10"/>
    </row>
    <row r="47" spans="1:8">
      <c r="A47" s="46" t="s">
        <v>56</v>
      </c>
      <c r="B47" s="68" t="s">
        <v>344</v>
      </c>
      <c r="C47" s="48">
        <v>0.41201388888888901</v>
      </c>
      <c r="D47" s="2"/>
      <c r="E47" s="10"/>
      <c r="F47" s="10"/>
      <c r="G47" s="10"/>
    </row>
    <row r="48" spans="1:8">
      <c r="A48" s="46" t="s">
        <v>58</v>
      </c>
      <c r="B48" s="68" t="s">
        <v>210</v>
      </c>
      <c r="C48" s="67" t="s">
        <v>1445</v>
      </c>
      <c r="D48" s="1" t="s">
        <v>67</v>
      </c>
      <c r="E48" s="10"/>
      <c r="F48" s="10"/>
      <c r="G48" s="10"/>
    </row>
    <row r="49" spans="1:8" ht="31.2">
      <c r="A49" s="46" t="s">
        <v>60</v>
      </c>
      <c r="B49" s="68" t="s">
        <v>286</v>
      </c>
      <c r="C49" s="41" t="s">
        <v>287</v>
      </c>
      <c r="D49" s="18" t="s">
        <v>63</v>
      </c>
      <c r="E49" s="10"/>
      <c r="F49" s="10"/>
      <c r="G49" s="10"/>
    </row>
    <row r="50" spans="1:8" ht="31.2">
      <c r="A50" s="46" t="s">
        <v>64</v>
      </c>
      <c r="B50" s="68" t="s">
        <v>506</v>
      </c>
      <c r="C50" s="41" t="s">
        <v>507</v>
      </c>
      <c r="D50" s="18"/>
      <c r="E50" s="10"/>
      <c r="F50" s="10"/>
      <c r="G50" s="10"/>
    </row>
    <row r="51" spans="1:8" ht="31.2">
      <c r="A51" s="46" t="s">
        <v>68</v>
      </c>
      <c r="B51" s="68" t="s">
        <v>508</v>
      </c>
      <c r="C51" s="41" t="s">
        <v>509</v>
      </c>
      <c r="D51" s="45" t="s">
        <v>71</v>
      </c>
      <c r="E51" s="10"/>
      <c r="F51" s="10"/>
      <c r="G51" s="10"/>
    </row>
    <row r="52" spans="1:8">
      <c r="A52" s="46" t="s">
        <v>72</v>
      </c>
      <c r="B52" s="68" t="s">
        <v>215</v>
      </c>
      <c r="C52" s="41" t="s">
        <v>258</v>
      </c>
      <c r="D52" s="2"/>
      <c r="E52" s="10"/>
      <c r="F52" s="10"/>
      <c r="G52" s="10"/>
    </row>
    <row r="53" spans="1:8">
      <c r="A53" s="46" t="s">
        <v>75</v>
      </c>
      <c r="B53" s="68" t="s">
        <v>216</v>
      </c>
      <c r="C53" s="41">
        <v>1.5575071992085701E+18</v>
      </c>
      <c r="D53" s="2"/>
      <c r="E53" s="10"/>
      <c r="F53" s="10"/>
      <c r="G53" s="10"/>
    </row>
    <row r="54" spans="1:8">
      <c r="A54" s="46" t="s">
        <v>292</v>
      </c>
      <c r="B54" s="68" t="s">
        <v>293</v>
      </c>
      <c r="C54" s="41" t="s">
        <v>510</v>
      </c>
      <c r="D54" s="2"/>
      <c r="E54" s="10"/>
      <c r="F54" s="10"/>
      <c r="G54" s="10"/>
    </row>
    <row r="55" spans="1:8">
      <c r="A55" s="46" t="s">
        <v>309</v>
      </c>
      <c r="B55" s="68" t="s">
        <v>310</v>
      </c>
      <c r="C55" s="41" t="s">
        <v>511</v>
      </c>
      <c r="D55" s="49" t="s">
        <v>312</v>
      </c>
      <c r="E55" s="10"/>
      <c r="F55" s="10"/>
      <c r="G55" s="10"/>
    </row>
    <row r="56" spans="1:8">
      <c r="A56" s="46" t="s">
        <v>512</v>
      </c>
      <c r="B56" s="68" t="s">
        <v>513</v>
      </c>
      <c r="C56" s="41">
        <v>1</v>
      </c>
      <c r="D56" s="49"/>
      <c r="E56" s="10"/>
      <c r="F56" s="10"/>
      <c r="G56" s="10"/>
    </row>
    <row r="57" spans="1:8">
      <c r="A57" s="46" t="s">
        <v>514</v>
      </c>
      <c r="B57" s="68" t="s">
        <v>515</v>
      </c>
      <c r="C57" s="41">
        <v>0</v>
      </c>
      <c r="D57" s="49" t="s">
        <v>416</v>
      </c>
      <c r="E57" s="10"/>
      <c r="F57" s="10"/>
      <c r="G57" s="10"/>
    </row>
    <row r="58" spans="1:8" ht="31.2">
      <c r="A58" s="46" t="s">
        <v>350</v>
      </c>
      <c r="B58" s="68" t="s">
        <v>516</v>
      </c>
      <c r="C58" s="41" t="s">
        <v>517</v>
      </c>
      <c r="D58" s="49" t="s">
        <v>352</v>
      </c>
      <c r="E58" s="10"/>
      <c r="F58" s="10"/>
      <c r="G58" s="10"/>
    </row>
    <row r="59" spans="1:8">
      <c r="A59" s="13"/>
      <c r="B59" s="10"/>
      <c r="C59" s="10"/>
      <c r="D59" s="10"/>
      <c r="E59" s="10"/>
      <c r="F59" s="10"/>
      <c r="G59" s="10"/>
      <c r="H59" s="10"/>
    </row>
    <row r="60" spans="1:8">
      <c r="A60" s="13"/>
      <c r="B60" s="10"/>
      <c r="C60" s="10"/>
      <c r="D60" s="10"/>
      <c r="E60" s="10"/>
      <c r="F60" s="10"/>
      <c r="G60" s="10"/>
      <c r="H60" s="10"/>
    </row>
    <row r="61" spans="1:8">
      <c r="A61" s="113" t="s">
        <v>196</v>
      </c>
      <c r="B61" s="113"/>
      <c r="C61" s="113"/>
      <c r="D61" s="113"/>
      <c r="E61" s="113"/>
      <c r="F61" s="113"/>
      <c r="G61" s="113"/>
      <c r="H61" s="113"/>
    </row>
    <row r="62" spans="1:8">
      <c r="A62" s="14" t="s">
        <v>1432</v>
      </c>
      <c r="B62" s="14" t="s">
        <v>197</v>
      </c>
      <c r="C62" s="14" t="s">
        <v>198</v>
      </c>
      <c r="D62" s="14" t="s">
        <v>199</v>
      </c>
      <c r="E62" s="14" t="s">
        <v>200</v>
      </c>
      <c r="F62" s="14" t="s">
        <v>202</v>
      </c>
      <c r="G62" s="14" t="s">
        <v>21</v>
      </c>
      <c r="H62" s="14" t="s">
        <v>203</v>
      </c>
    </row>
    <row r="63" spans="1:8" ht="31.2">
      <c r="A63" s="54">
        <v>35002</v>
      </c>
      <c r="B63" s="19"/>
      <c r="C63" s="19"/>
      <c r="D63" s="19"/>
      <c r="E63" s="19"/>
      <c r="F63" s="51" t="s">
        <v>1234</v>
      </c>
      <c r="G63" s="52" t="s">
        <v>503</v>
      </c>
      <c r="H63" s="53"/>
    </row>
    <row r="64" spans="1:8" ht="31.2">
      <c r="A64" s="54">
        <v>35004</v>
      </c>
      <c r="B64" s="53"/>
      <c r="C64" s="53"/>
      <c r="D64" s="53"/>
      <c r="E64" s="53"/>
      <c r="F64" s="51" t="s">
        <v>1235</v>
      </c>
      <c r="G64" s="52" t="s">
        <v>503</v>
      </c>
      <c r="H64" s="53"/>
    </row>
  </sheetData>
  <mergeCells count="8">
    <mergeCell ref="A34:B34"/>
    <mergeCell ref="A44:D44"/>
    <mergeCell ref="A61:H61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B00-000000000000}">
      <formula1>"Tags Normal,Tags Reversed,Local"</formula1>
    </dataValidation>
    <dataValidation type="list" allowBlank="1" showInputMessage="1" showErrorMessage="1" sqref="B29 B31 B33 B35 B19:B21" xr:uid="{00000000-0002-0000-0B00-000001000000}">
      <formula1>"Checked,Unchecked"</formula1>
    </dataValidation>
    <dataValidation type="list" allowBlank="1" showInputMessage="1" showErrorMessage="1" sqref="B25" xr:uid="{00000000-0002-0000-0B00-000002000000}">
      <formula1>"N/A,Tags Normal,Tags Reversed,Direct Assignment"</formula1>
    </dataValidation>
    <dataValidation type="list" allowBlank="1" showInputMessage="1" showErrorMessage="1" sqref="B37" xr:uid="{00000000-0002-0000-0B00-000003000000}">
      <formula1>"JSON,XML,CEF,LEEF,Key-Value Pairs,Delimited,Limited Structure"</formula1>
    </dataValidation>
    <dataValidation type="list" allowBlank="1" showInputMessage="1" showErrorMessage="1" sqref="B23:B24" xr:uid="{00000000-0002-0000-0B00-000004000000}">
      <formula1>"N/A,Tags,Log Message Source"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68"/>
  <sheetViews>
    <sheetView topLeftCell="D54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518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519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520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24.8">
      <c r="A41" s="8" t="s">
        <v>48</v>
      </c>
      <c r="B41" s="11" t="s">
        <v>521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68" t="s">
        <v>343</v>
      </c>
      <c r="C46" s="47">
        <v>43598</v>
      </c>
      <c r="D46" s="2"/>
      <c r="E46" s="10"/>
      <c r="F46" s="10"/>
      <c r="G46" s="10"/>
    </row>
    <row r="47" spans="1:8">
      <c r="A47" s="46" t="s">
        <v>56</v>
      </c>
      <c r="B47" s="68" t="s">
        <v>344</v>
      </c>
      <c r="C47" s="48">
        <v>0.61179398148148101</v>
      </c>
      <c r="D47" s="2"/>
      <c r="E47" s="10"/>
      <c r="F47" s="10"/>
      <c r="G47" s="10"/>
    </row>
    <row r="48" spans="1:8">
      <c r="A48" s="46" t="s">
        <v>58</v>
      </c>
      <c r="B48" s="68" t="s">
        <v>210</v>
      </c>
      <c r="C48" s="67" t="s">
        <v>1446</v>
      </c>
      <c r="D48" s="1" t="s">
        <v>67</v>
      </c>
      <c r="E48" s="10"/>
      <c r="F48" s="10"/>
      <c r="G48" s="10"/>
    </row>
    <row r="49" spans="1:8" ht="31.2">
      <c r="A49" s="46" t="s">
        <v>60</v>
      </c>
      <c r="B49" s="68" t="s">
        <v>286</v>
      </c>
      <c r="C49" s="41" t="s">
        <v>287</v>
      </c>
      <c r="D49" s="18" t="s">
        <v>63</v>
      </c>
      <c r="E49" s="10"/>
      <c r="F49" s="10"/>
      <c r="G49" s="10"/>
    </row>
    <row r="50" spans="1:8" ht="31.2">
      <c r="A50" s="46" t="s">
        <v>64</v>
      </c>
      <c r="B50" s="68" t="s">
        <v>522</v>
      </c>
      <c r="C50" s="41" t="s">
        <v>523</v>
      </c>
      <c r="D50" s="18"/>
      <c r="E50" s="10"/>
      <c r="F50" s="10"/>
      <c r="G50" s="10"/>
    </row>
    <row r="51" spans="1:8" ht="31.2">
      <c r="A51" s="46" t="s">
        <v>68</v>
      </c>
      <c r="B51" s="68" t="s">
        <v>214</v>
      </c>
      <c r="C51" s="41" t="s">
        <v>70</v>
      </c>
      <c r="D51" s="45" t="s">
        <v>71</v>
      </c>
      <c r="E51" s="10"/>
      <c r="F51" s="10"/>
      <c r="G51" s="10"/>
    </row>
    <row r="52" spans="1:8">
      <c r="A52" s="46" t="s">
        <v>72</v>
      </c>
      <c r="B52" s="68" t="s">
        <v>215</v>
      </c>
      <c r="C52" s="41" t="s">
        <v>258</v>
      </c>
      <c r="D52" s="2"/>
      <c r="E52" s="10"/>
      <c r="F52" s="10"/>
      <c r="G52" s="10"/>
    </row>
    <row r="53" spans="1:8">
      <c r="A53" s="46" t="s">
        <v>75</v>
      </c>
      <c r="B53" s="68" t="s">
        <v>216</v>
      </c>
      <c r="C53" s="41">
        <v>1.5577836595362501E+18</v>
      </c>
      <c r="D53" s="2"/>
      <c r="E53" s="10"/>
      <c r="F53" s="10"/>
      <c r="G53" s="10"/>
    </row>
    <row r="54" spans="1:8">
      <c r="A54" s="46" t="s">
        <v>292</v>
      </c>
      <c r="B54" s="68" t="s">
        <v>293</v>
      </c>
      <c r="C54" s="41" t="s">
        <v>524</v>
      </c>
      <c r="D54" s="49" t="s">
        <v>312</v>
      </c>
      <c r="E54" s="10"/>
      <c r="F54" s="10"/>
      <c r="G54" s="10"/>
    </row>
    <row r="55" spans="1:8">
      <c r="A55" s="46" t="s">
        <v>525</v>
      </c>
      <c r="B55" s="68" t="s">
        <v>526</v>
      </c>
      <c r="C55" s="41">
        <v>1557783648</v>
      </c>
      <c r="D55" s="2"/>
      <c r="E55" s="10"/>
      <c r="F55" s="10"/>
      <c r="G55" s="10"/>
    </row>
    <row r="56" spans="1:8" ht="31.2">
      <c r="A56" s="46" t="s">
        <v>527</v>
      </c>
      <c r="B56" s="68" t="s">
        <v>528</v>
      </c>
      <c r="C56" s="41">
        <v>1557783659</v>
      </c>
      <c r="D56" s="2"/>
      <c r="E56" s="10"/>
      <c r="F56" s="10"/>
      <c r="G56" s="10"/>
    </row>
    <row r="57" spans="1:8">
      <c r="A57" s="46" t="s">
        <v>529</v>
      </c>
      <c r="B57" s="68" t="s">
        <v>530</v>
      </c>
      <c r="C57" s="41" t="s">
        <v>531</v>
      </c>
      <c r="D57" s="49" t="s">
        <v>443</v>
      </c>
      <c r="E57" s="10"/>
      <c r="F57" s="10"/>
      <c r="G57" s="10"/>
    </row>
    <row r="58" spans="1:8">
      <c r="A58" s="46" t="s">
        <v>532</v>
      </c>
      <c r="B58" s="68" t="s">
        <v>533</v>
      </c>
      <c r="C58" s="41">
        <v>1</v>
      </c>
      <c r="D58" s="2"/>
      <c r="E58" s="10"/>
      <c r="F58" s="10"/>
      <c r="G58" s="10"/>
    </row>
    <row r="59" spans="1:8">
      <c r="A59" s="46" t="s">
        <v>534</v>
      </c>
      <c r="B59" s="68" t="s">
        <v>535</v>
      </c>
      <c r="C59" s="41">
        <v>6</v>
      </c>
      <c r="D59" s="2"/>
      <c r="E59" s="10"/>
      <c r="F59" s="10"/>
      <c r="G59" s="10"/>
    </row>
    <row r="60" spans="1:8">
      <c r="A60" s="46" t="s">
        <v>536</v>
      </c>
      <c r="B60" s="68" t="s">
        <v>537</v>
      </c>
      <c r="C60" s="41">
        <v>8</v>
      </c>
      <c r="D60" s="2"/>
      <c r="E60" s="10"/>
      <c r="F60" s="10"/>
      <c r="G60" s="10"/>
    </row>
    <row r="61" spans="1:8">
      <c r="A61" s="46" t="s">
        <v>538</v>
      </c>
      <c r="B61" s="68" t="s">
        <v>539</v>
      </c>
      <c r="C61" s="41">
        <v>0</v>
      </c>
      <c r="D61" s="2"/>
      <c r="E61" s="10"/>
      <c r="F61" s="10"/>
      <c r="G61" s="10"/>
    </row>
    <row r="62" spans="1:8">
      <c r="A62" s="46" t="s">
        <v>540</v>
      </c>
      <c r="B62" s="68" t="s">
        <v>541</v>
      </c>
      <c r="C62" s="41">
        <v>38</v>
      </c>
      <c r="D62" s="2"/>
      <c r="E62" s="10"/>
      <c r="F62" s="10"/>
      <c r="G62" s="10"/>
    </row>
    <row r="63" spans="1:8">
      <c r="A63" s="13"/>
      <c r="B63" s="10"/>
      <c r="C63" s="10"/>
      <c r="D63" s="10"/>
      <c r="E63" s="10"/>
      <c r="F63" s="10"/>
      <c r="G63" s="10"/>
      <c r="H63" s="10"/>
    </row>
    <row r="64" spans="1:8">
      <c r="A64" s="13"/>
      <c r="B64" s="10"/>
      <c r="C64" s="10"/>
      <c r="D64" s="10"/>
      <c r="E64" s="10"/>
      <c r="F64" s="10"/>
      <c r="G64" s="10"/>
      <c r="H64" s="10"/>
    </row>
    <row r="65" spans="1:8">
      <c r="A65" s="113" t="s">
        <v>196</v>
      </c>
      <c r="B65" s="113"/>
      <c r="C65" s="113"/>
      <c r="D65" s="113"/>
      <c r="E65" s="113"/>
      <c r="F65" s="113"/>
      <c r="G65" s="113"/>
      <c r="H65" s="113"/>
    </row>
    <row r="66" spans="1:8">
      <c r="A66" s="14" t="s">
        <v>1432</v>
      </c>
      <c r="B66" s="14" t="s">
        <v>197</v>
      </c>
      <c r="C66" s="14" t="s">
        <v>198</v>
      </c>
      <c r="D66" s="14" t="s">
        <v>199</v>
      </c>
      <c r="E66" s="14" t="s">
        <v>200</v>
      </c>
      <c r="F66" s="14" t="s">
        <v>202</v>
      </c>
      <c r="G66" s="14" t="s">
        <v>21</v>
      </c>
      <c r="H66" s="14" t="s">
        <v>203</v>
      </c>
    </row>
    <row r="67" spans="1:8">
      <c r="A67" s="56">
        <v>52000</v>
      </c>
      <c r="B67" s="19"/>
      <c r="C67" s="19"/>
      <c r="D67" s="19"/>
      <c r="E67" s="19"/>
      <c r="F67" s="55" t="s">
        <v>1236</v>
      </c>
      <c r="G67" s="52" t="s">
        <v>1678</v>
      </c>
      <c r="H67" s="19"/>
    </row>
    <row r="68" spans="1:8">
      <c r="A68" s="56">
        <v>52001</v>
      </c>
      <c r="B68" s="19"/>
      <c r="C68" s="19"/>
      <c r="D68" s="19"/>
      <c r="E68" s="19"/>
      <c r="F68" s="55" t="s">
        <v>1237</v>
      </c>
      <c r="G68" s="52" t="s">
        <v>1678</v>
      </c>
      <c r="H68" s="19"/>
    </row>
  </sheetData>
  <mergeCells count="8">
    <mergeCell ref="A34:B34"/>
    <mergeCell ref="A44:D44"/>
    <mergeCell ref="A65:H65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C00-000000000000}">
      <formula1>"Tags Normal,Tags Reversed,Local"</formula1>
    </dataValidation>
    <dataValidation type="list" allowBlank="1" showInputMessage="1" showErrorMessage="1" sqref="B29 B31 B33 B35 B19:B21" xr:uid="{00000000-0002-0000-0C00-000001000000}">
      <formula1>"Checked,Unchecked"</formula1>
    </dataValidation>
    <dataValidation type="list" allowBlank="1" showInputMessage="1" showErrorMessage="1" sqref="B25" xr:uid="{00000000-0002-0000-0C00-000002000000}">
      <formula1>"N/A,Tags Normal,Tags Reversed,Direct Assignment"</formula1>
    </dataValidation>
    <dataValidation type="list" allowBlank="1" showInputMessage="1" showErrorMessage="1" sqref="B37" xr:uid="{00000000-0002-0000-0C00-000003000000}">
      <formula1>"JSON,XML,CEF,LEEF,Key-Value Pairs,Delimited,Limited Structure"</formula1>
    </dataValidation>
    <dataValidation type="list" allowBlank="1" showInputMessage="1" showErrorMessage="1" sqref="B23:B24" xr:uid="{00000000-0002-0000-0C00-000004000000}">
      <formula1>"N/A,Tags,Log Message Source"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73"/>
  <sheetViews>
    <sheetView topLeftCell="E64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542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543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544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40.4">
      <c r="A41" s="8" t="s">
        <v>48</v>
      </c>
      <c r="B41" s="11" t="s">
        <v>545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68" t="s">
        <v>343</v>
      </c>
      <c r="C46" s="47">
        <v>43595</v>
      </c>
      <c r="D46" s="2"/>
      <c r="E46" s="10"/>
      <c r="F46" s="10"/>
      <c r="G46" s="10"/>
    </row>
    <row r="47" spans="1:8">
      <c r="A47" s="46" t="s">
        <v>56</v>
      </c>
      <c r="B47" s="68" t="s">
        <v>344</v>
      </c>
      <c r="C47" s="48">
        <v>0.65869212962962997</v>
      </c>
      <c r="D47" s="2"/>
      <c r="E47" s="10"/>
      <c r="F47" s="10"/>
      <c r="G47" s="10"/>
    </row>
    <row r="48" spans="1:8">
      <c r="A48" s="46" t="s">
        <v>58</v>
      </c>
      <c r="B48" s="68" t="s">
        <v>210</v>
      </c>
      <c r="C48" s="67" t="s">
        <v>1447</v>
      </c>
      <c r="D48" s="1" t="s">
        <v>67</v>
      </c>
      <c r="E48" s="10"/>
      <c r="F48" s="10"/>
      <c r="G48" s="10"/>
    </row>
    <row r="49" spans="1:7" ht="31.2">
      <c r="A49" s="46" t="s">
        <v>60</v>
      </c>
      <c r="B49" s="68" t="s">
        <v>286</v>
      </c>
      <c r="C49" s="41" t="s">
        <v>287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68" t="s">
        <v>546</v>
      </c>
      <c r="C50" s="41" t="s">
        <v>547</v>
      </c>
      <c r="D50" s="18"/>
      <c r="E50" s="10"/>
      <c r="F50" s="10"/>
      <c r="G50" s="10"/>
    </row>
    <row r="51" spans="1:7" ht="31.2">
      <c r="A51" s="46" t="s">
        <v>68</v>
      </c>
      <c r="B51" s="68" t="s">
        <v>548</v>
      </c>
      <c r="C51" s="41" t="s">
        <v>549</v>
      </c>
      <c r="D51" s="45" t="s">
        <v>71</v>
      </c>
      <c r="E51" s="10"/>
      <c r="F51" s="10"/>
      <c r="G51" s="10"/>
    </row>
    <row r="52" spans="1:7">
      <c r="A52" s="46" t="s">
        <v>72</v>
      </c>
      <c r="B52" s="68" t="s">
        <v>215</v>
      </c>
      <c r="C52" s="41" t="s">
        <v>258</v>
      </c>
      <c r="D52" s="2"/>
      <c r="E52" s="10"/>
      <c r="F52" s="10"/>
      <c r="G52" s="10"/>
    </row>
    <row r="53" spans="1:7">
      <c r="A53" s="46" t="s">
        <v>75</v>
      </c>
      <c r="B53" s="68" t="s">
        <v>216</v>
      </c>
      <c r="C53" s="41">
        <v>1.5575285112213701E+18</v>
      </c>
      <c r="D53" s="49"/>
      <c r="E53" s="10"/>
      <c r="F53" s="10"/>
      <c r="G53" s="10"/>
    </row>
    <row r="54" spans="1:7">
      <c r="A54" s="46" t="s">
        <v>292</v>
      </c>
      <c r="B54" s="68" t="s">
        <v>293</v>
      </c>
      <c r="C54" s="41" t="s">
        <v>550</v>
      </c>
      <c r="D54" s="49"/>
      <c r="E54" s="10"/>
      <c r="F54" s="10"/>
      <c r="G54" s="10"/>
    </row>
    <row r="55" spans="1:7">
      <c r="A55" s="46" t="s">
        <v>551</v>
      </c>
      <c r="B55" s="68" t="s">
        <v>552</v>
      </c>
      <c r="C55" s="41" t="s">
        <v>553</v>
      </c>
      <c r="D55" s="49" t="s">
        <v>115</v>
      </c>
      <c r="E55" s="10"/>
      <c r="F55" s="10"/>
      <c r="G55" s="10"/>
    </row>
    <row r="56" spans="1:7" ht="31.2">
      <c r="A56" s="46" t="s">
        <v>123</v>
      </c>
      <c r="B56" s="68" t="s">
        <v>554</v>
      </c>
      <c r="C56" s="41">
        <v>0</v>
      </c>
      <c r="D56" s="49" t="s">
        <v>128</v>
      </c>
      <c r="E56" s="10"/>
      <c r="F56" s="10"/>
      <c r="G56" s="10"/>
    </row>
    <row r="57" spans="1:7">
      <c r="A57" s="46" t="s">
        <v>77</v>
      </c>
      <c r="B57" s="68" t="s">
        <v>555</v>
      </c>
      <c r="C57" s="41" t="s">
        <v>218</v>
      </c>
      <c r="D57" s="49" t="s">
        <v>80</v>
      </c>
      <c r="E57" s="10"/>
      <c r="F57" s="10"/>
      <c r="G57" s="10"/>
    </row>
    <row r="58" spans="1:7">
      <c r="A58" s="46" t="s">
        <v>81</v>
      </c>
      <c r="B58" s="68" t="s">
        <v>556</v>
      </c>
      <c r="C58" s="41">
        <v>59880</v>
      </c>
      <c r="D58" s="49" t="s">
        <v>83</v>
      </c>
      <c r="E58" s="10"/>
      <c r="F58" s="10"/>
      <c r="G58" s="10"/>
    </row>
    <row r="59" spans="1:7" ht="31.2">
      <c r="A59" s="46" t="s">
        <v>91</v>
      </c>
      <c r="B59" s="68" t="s">
        <v>557</v>
      </c>
      <c r="C59" s="41" t="s">
        <v>221</v>
      </c>
      <c r="D59" s="49" t="s">
        <v>94</v>
      </c>
      <c r="E59" s="10"/>
      <c r="F59" s="10"/>
      <c r="G59" s="10"/>
    </row>
    <row r="60" spans="1:7">
      <c r="A60" s="46" t="s">
        <v>95</v>
      </c>
      <c r="B60" s="68" t="s">
        <v>558</v>
      </c>
      <c r="C60" s="41">
        <v>443</v>
      </c>
      <c r="D60" s="49" t="s">
        <v>97</v>
      </c>
      <c r="E60" s="10"/>
      <c r="F60" s="10"/>
      <c r="G60" s="10"/>
    </row>
    <row r="61" spans="1:7" ht="31.2">
      <c r="A61" s="46" t="s">
        <v>119</v>
      </c>
      <c r="B61" s="68" t="s">
        <v>559</v>
      </c>
      <c r="C61" s="41" t="s">
        <v>560</v>
      </c>
      <c r="D61" s="49" t="s">
        <v>122</v>
      </c>
      <c r="E61" s="10"/>
      <c r="F61" s="10"/>
      <c r="G61" s="10"/>
    </row>
    <row r="62" spans="1:7">
      <c r="A62" s="46" t="s">
        <v>561</v>
      </c>
      <c r="B62" s="68" t="s">
        <v>562</v>
      </c>
      <c r="C62" s="41">
        <v>2</v>
      </c>
      <c r="D62" s="49" t="s">
        <v>813</v>
      </c>
      <c r="E62" s="10"/>
      <c r="F62" s="10"/>
      <c r="G62" s="10"/>
    </row>
    <row r="63" spans="1:7">
      <c r="A63" s="46" t="s">
        <v>563</v>
      </c>
      <c r="B63" s="68" t="s">
        <v>564</v>
      </c>
      <c r="C63" s="41" t="s">
        <v>565</v>
      </c>
      <c r="D63" s="49" t="s">
        <v>804</v>
      </c>
      <c r="E63" s="10"/>
      <c r="F63" s="10"/>
      <c r="G63" s="10"/>
    </row>
    <row r="64" spans="1:7">
      <c r="A64" s="46" t="s">
        <v>309</v>
      </c>
      <c r="B64" s="68" t="s">
        <v>310</v>
      </c>
      <c r="C64" s="41" t="s">
        <v>550</v>
      </c>
      <c r="D64" s="49" t="s">
        <v>312</v>
      </c>
      <c r="E64" s="10"/>
      <c r="F64" s="10"/>
      <c r="G64" s="10"/>
    </row>
    <row r="65" spans="1:8">
      <c r="A65" s="13"/>
      <c r="B65" s="10"/>
      <c r="C65" s="10"/>
      <c r="D65" s="10"/>
      <c r="E65" s="10"/>
      <c r="F65" s="10"/>
      <c r="G65" s="10"/>
      <c r="H65" s="10"/>
    </row>
    <row r="66" spans="1:8">
      <c r="A66" s="13"/>
      <c r="B66" s="10"/>
      <c r="C66" s="10"/>
      <c r="D66" s="10"/>
      <c r="E66" s="10"/>
      <c r="F66" s="10"/>
      <c r="G66" s="10"/>
      <c r="H66" s="10"/>
    </row>
    <row r="67" spans="1:8">
      <c r="A67" s="113" t="s">
        <v>196</v>
      </c>
      <c r="B67" s="113"/>
      <c r="C67" s="113"/>
      <c r="D67" s="113"/>
      <c r="E67" s="113"/>
      <c r="F67" s="113"/>
      <c r="G67" s="113"/>
      <c r="H67" s="113"/>
    </row>
    <row r="68" spans="1:8">
      <c r="A68" s="14" t="s">
        <v>1432</v>
      </c>
      <c r="B68" s="14" t="s">
        <v>197</v>
      </c>
      <c r="C68" s="14" t="s">
        <v>198</v>
      </c>
      <c r="D68" s="14" t="s">
        <v>199</v>
      </c>
      <c r="E68" s="14" t="s">
        <v>200</v>
      </c>
      <c r="F68" s="14" t="s">
        <v>202</v>
      </c>
      <c r="G68" s="14" t="s">
        <v>21</v>
      </c>
      <c r="H68" s="14" t="s">
        <v>203</v>
      </c>
    </row>
    <row r="69" spans="1:8">
      <c r="A69" s="19">
        <v>48009</v>
      </c>
      <c r="B69" s="19"/>
      <c r="C69" s="19"/>
      <c r="D69" s="19"/>
      <c r="E69" s="19"/>
      <c r="F69" s="51" t="s">
        <v>1243</v>
      </c>
      <c r="G69" s="52" t="s">
        <v>1238</v>
      </c>
      <c r="H69" s="53"/>
    </row>
    <row r="70" spans="1:8">
      <c r="A70" s="19">
        <v>48013</v>
      </c>
      <c r="B70" s="53"/>
      <c r="C70" s="53"/>
      <c r="D70" s="53"/>
      <c r="E70" s="19"/>
      <c r="F70" s="51" t="s">
        <v>1244</v>
      </c>
      <c r="G70" s="52" t="s">
        <v>1239</v>
      </c>
      <c r="H70" s="53"/>
    </row>
    <row r="71" spans="1:8" ht="31.2">
      <c r="A71" s="19">
        <v>48023</v>
      </c>
      <c r="B71" s="53"/>
      <c r="C71" s="53"/>
      <c r="D71" s="53"/>
      <c r="E71" s="19"/>
      <c r="F71" s="51" t="s">
        <v>1245</v>
      </c>
      <c r="G71" s="52" t="s">
        <v>1240</v>
      </c>
      <c r="H71" s="53"/>
    </row>
    <row r="72" spans="1:8">
      <c r="A72" s="19">
        <v>48038</v>
      </c>
      <c r="B72" s="53"/>
      <c r="C72" s="53"/>
      <c r="D72" s="53"/>
      <c r="E72" s="19"/>
      <c r="F72" s="51" t="s">
        <v>1246</v>
      </c>
      <c r="G72" s="52" t="s">
        <v>1241</v>
      </c>
      <c r="H72" s="53"/>
    </row>
    <row r="73" spans="1:8">
      <c r="A73" s="19">
        <v>48039</v>
      </c>
      <c r="B73" s="53"/>
      <c r="C73" s="53"/>
      <c r="D73" s="53"/>
      <c r="E73" s="19"/>
      <c r="F73" s="51" t="s">
        <v>1247</v>
      </c>
      <c r="G73" s="52" t="s">
        <v>1242</v>
      </c>
      <c r="H73" s="53"/>
    </row>
  </sheetData>
  <mergeCells count="8">
    <mergeCell ref="A34:B34"/>
    <mergeCell ref="A44:D44"/>
    <mergeCell ref="A67:H67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D00-000000000000}">
      <formula1>"Tags Normal,Tags Reversed,Local"</formula1>
    </dataValidation>
    <dataValidation type="list" allowBlank="1" showInputMessage="1" showErrorMessage="1" sqref="B29 B31 B33 B35 B19:B21" xr:uid="{00000000-0002-0000-0D00-000001000000}">
      <formula1>"Checked,Unchecked"</formula1>
    </dataValidation>
    <dataValidation type="list" allowBlank="1" showInputMessage="1" showErrorMessage="1" sqref="B25" xr:uid="{00000000-0002-0000-0D00-000002000000}">
      <formula1>"N/A,Tags Normal,Tags Reversed,Direct Assignment"</formula1>
    </dataValidation>
    <dataValidation type="list" allowBlank="1" showInputMessage="1" showErrorMessage="1" sqref="B37" xr:uid="{00000000-0002-0000-0D00-000003000000}">
      <formula1>"JSON,XML,CEF,LEEF,Key-Value Pairs,Delimited,Limited Structure"</formula1>
    </dataValidation>
    <dataValidation type="list" allowBlank="1" showInputMessage="1" showErrorMessage="1" sqref="B23:B24" xr:uid="{00000000-0002-0000-0D00-000004000000}">
      <formula1>"N/A,Tags,Log Message Source"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100"/>
  <sheetViews>
    <sheetView topLeftCell="A81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566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567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>
      <c r="A15" s="8" t="s">
        <v>21</v>
      </c>
      <c r="B15" s="13" t="s">
        <v>568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569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80.8">
      <c r="A41" s="8" t="s">
        <v>48</v>
      </c>
      <c r="B41" s="11" t="s">
        <v>570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68" t="s">
        <v>343</v>
      </c>
      <c r="C46" s="47">
        <v>43598</v>
      </c>
      <c r="D46" s="2"/>
      <c r="E46" s="10"/>
      <c r="F46" s="10"/>
      <c r="G46" s="10"/>
    </row>
    <row r="47" spans="1:8">
      <c r="A47" s="46" t="s">
        <v>56</v>
      </c>
      <c r="B47" s="68" t="s">
        <v>344</v>
      </c>
      <c r="C47" s="48">
        <v>0.479259259259259</v>
      </c>
      <c r="D47" s="2"/>
      <c r="E47" s="10"/>
      <c r="F47" s="10"/>
      <c r="G47" s="10"/>
    </row>
    <row r="48" spans="1:8">
      <c r="A48" s="46" t="s">
        <v>58</v>
      </c>
      <c r="B48" s="68" t="s">
        <v>210</v>
      </c>
      <c r="C48" s="67" t="s">
        <v>1448</v>
      </c>
      <c r="D48" s="1" t="s">
        <v>67</v>
      </c>
      <c r="E48" s="10"/>
      <c r="F48" s="10"/>
      <c r="G48" s="10"/>
    </row>
    <row r="49" spans="1:7" ht="31.2">
      <c r="A49" s="46" t="s">
        <v>60</v>
      </c>
      <c r="B49" s="68" t="s">
        <v>286</v>
      </c>
      <c r="C49" s="41" t="s">
        <v>287</v>
      </c>
      <c r="D49" s="18" t="s">
        <v>63</v>
      </c>
      <c r="E49" s="10"/>
      <c r="F49" s="10"/>
      <c r="G49" s="10"/>
    </row>
    <row r="50" spans="1:7" ht="31.2">
      <c r="A50" s="46" t="s">
        <v>64</v>
      </c>
      <c r="B50" s="68" t="s">
        <v>571</v>
      </c>
      <c r="C50" s="41" t="s">
        <v>572</v>
      </c>
      <c r="D50" s="18"/>
      <c r="E50" s="10"/>
      <c r="F50" s="10"/>
      <c r="G50" s="10"/>
    </row>
    <row r="51" spans="1:7" ht="31.2">
      <c r="A51" s="46" t="s">
        <v>68</v>
      </c>
      <c r="B51" s="68" t="s">
        <v>384</v>
      </c>
      <c r="C51" s="41" t="s">
        <v>385</v>
      </c>
      <c r="D51" s="45" t="s">
        <v>71</v>
      </c>
      <c r="E51" s="10"/>
      <c r="F51" s="10"/>
      <c r="G51" s="10"/>
    </row>
    <row r="52" spans="1:7">
      <c r="A52" s="46" t="s">
        <v>72</v>
      </c>
      <c r="B52" s="68" t="s">
        <v>215</v>
      </c>
      <c r="C52" s="41" t="s">
        <v>74</v>
      </c>
      <c r="D52" s="2"/>
      <c r="E52" s="10"/>
      <c r="F52" s="10"/>
      <c r="G52" s="10"/>
    </row>
    <row r="53" spans="1:7">
      <c r="A53" s="46" t="s">
        <v>75</v>
      </c>
      <c r="B53" s="68" t="s">
        <v>216</v>
      </c>
      <c r="C53" s="41">
        <v>1.55777220813472E+18</v>
      </c>
      <c r="D53" s="2"/>
      <c r="E53" s="10"/>
      <c r="F53" s="10"/>
      <c r="G53" s="10"/>
    </row>
    <row r="54" spans="1:7">
      <c r="A54" s="46" t="s">
        <v>292</v>
      </c>
      <c r="B54" s="68" t="s">
        <v>293</v>
      </c>
      <c r="C54" s="41" t="s">
        <v>573</v>
      </c>
      <c r="D54" s="2"/>
      <c r="E54" s="10"/>
      <c r="F54" s="10"/>
      <c r="G54" s="10"/>
    </row>
    <row r="55" spans="1:7">
      <c r="A55" s="46" t="s">
        <v>574</v>
      </c>
      <c r="B55" s="68" t="s">
        <v>575</v>
      </c>
      <c r="C55" s="41" t="s">
        <v>576</v>
      </c>
      <c r="D55" s="2"/>
      <c r="E55" s="10"/>
      <c r="F55" s="10"/>
      <c r="G55" s="10"/>
    </row>
    <row r="56" spans="1:7">
      <c r="A56" s="46" t="s">
        <v>577</v>
      </c>
      <c r="B56" s="68" t="s">
        <v>578</v>
      </c>
      <c r="C56" s="41" t="s">
        <v>579</v>
      </c>
      <c r="D56" s="2"/>
      <c r="E56" s="10"/>
      <c r="F56" s="10"/>
      <c r="G56" s="10"/>
    </row>
    <row r="57" spans="1:7">
      <c r="A57" s="46" t="s">
        <v>580</v>
      </c>
      <c r="B57" s="68" t="s">
        <v>581</v>
      </c>
      <c r="C57" s="41">
        <v>0</v>
      </c>
      <c r="D57" s="2"/>
      <c r="E57" s="10"/>
      <c r="F57" s="10"/>
      <c r="G57" s="10"/>
    </row>
    <row r="58" spans="1:7">
      <c r="A58" s="46" t="s">
        <v>582</v>
      </c>
      <c r="B58" s="68" t="s">
        <v>583</v>
      </c>
      <c r="C58" s="41">
        <v>130</v>
      </c>
      <c r="D58" s="2"/>
      <c r="E58" s="10"/>
      <c r="F58" s="10"/>
      <c r="G58" s="10"/>
    </row>
    <row r="59" spans="1:7">
      <c r="A59" s="46" t="s">
        <v>584</v>
      </c>
      <c r="B59" s="68" t="s">
        <v>585</v>
      </c>
      <c r="C59" s="41" t="s">
        <v>586</v>
      </c>
      <c r="D59" s="2"/>
      <c r="E59" s="10"/>
      <c r="F59" s="10"/>
      <c r="G59" s="10"/>
    </row>
    <row r="60" spans="1:7">
      <c r="A60" s="46" t="s">
        <v>587</v>
      </c>
      <c r="B60" s="68" t="s">
        <v>588</v>
      </c>
      <c r="C60" s="41">
        <v>6</v>
      </c>
      <c r="D60" s="2"/>
      <c r="E60" s="10"/>
      <c r="F60" s="10"/>
      <c r="G60" s="10"/>
    </row>
    <row r="61" spans="1:7" ht="31.2">
      <c r="A61" s="46" t="s">
        <v>119</v>
      </c>
      <c r="B61" s="68" t="s">
        <v>589</v>
      </c>
      <c r="C61" s="41" t="s">
        <v>590</v>
      </c>
      <c r="D61" s="49" t="s">
        <v>122</v>
      </c>
      <c r="E61" s="10"/>
      <c r="F61" s="10"/>
      <c r="G61" s="10"/>
    </row>
    <row r="62" spans="1:7">
      <c r="A62" s="46" t="s">
        <v>591</v>
      </c>
      <c r="B62" s="68" t="s">
        <v>592</v>
      </c>
      <c r="C62" s="41" t="s">
        <v>593</v>
      </c>
      <c r="D62" s="49" t="s">
        <v>302</v>
      </c>
      <c r="E62" s="10"/>
      <c r="F62" s="10"/>
      <c r="G62" s="10"/>
    </row>
    <row r="63" spans="1:7">
      <c r="A63" s="46" t="s">
        <v>594</v>
      </c>
      <c r="B63" s="68" t="s">
        <v>595</v>
      </c>
      <c r="C63" s="41" t="s">
        <v>596</v>
      </c>
      <c r="D63" s="49" t="s">
        <v>496</v>
      </c>
      <c r="E63" s="10"/>
      <c r="F63" s="10"/>
      <c r="G63" s="10"/>
    </row>
    <row r="64" spans="1:7">
      <c r="A64" s="46" t="s">
        <v>597</v>
      </c>
      <c r="B64" s="68" t="s">
        <v>598</v>
      </c>
      <c r="C64" s="41" t="s">
        <v>599</v>
      </c>
      <c r="D64" s="49" t="s">
        <v>298</v>
      </c>
      <c r="E64" s="10"/>
      <c r="F64" s="10"/>
      <c r="G64" s="10"/>
    </row>
    <row r="65" spans="1:8">
      <c r="A65" s="46" t="s">
        <v>600</v>
      </c>
      <c r="B65" s="68" t="s">
        <v>601</v>
      </c>
      <c r="C65" s="41">
        <v>-93</v>
      </c>
      <c r="D65" s="2"/>
      <c r="E65" s="10"/>
      <c r="F65" s="10"/>
      <c r="G65" s="10"/>
    </row>
    <row r="66" spans="1:8">
      <c r="A66" s="46" t="s">
        <v>602</v>
      </c>
      <c r="B66" s="68" t="s">
        <v>603</v>
      </c>
      <c r="C66" s="41">
        <v>-95</v>
      </c>
      <c r="D66" s="2"/>
      <c r="E66" s="10"/>
      <c r="F66" s="10"/>
      <c r="G66" s="10"/>
    </row>
    <row r="67" spans="1:8" ht="31.2">
      <c r="A67" s="46" t="s">
        <v>604</v>
      </c>
      <c r="B67" s="68" t="s">
        <v>605</v>
      </c>
      <c r="C67" s="41">
        <v>353938</v>
      </c>
      <c r="D67" s="2"/>
      <c r="E67" s="10"/>
      <c r="F67" s="10"/>
      <c r="G67" s="10"/>
    </row>
    <row r="68" spans="1:8">
      <c r="A68" s="46" t="s">
        <v>606</v>
      </c>
      <c r="B68" s="68" t="s">
        <v>607</v>
      </c>
      <c r="C68" s="41">
        <v>505</v>
      </c>
      <c r="D68" s="2"/>
      <c r="E68" s="10"/>
      <c r="F68" s="10"/>
      <c r="G68" s="10"/>
    </row>
    <row r="69" spans="1:8">
      <c r="A69" s="46" t="s">
        <v>608</v>
      </c>
      <c r="B69" s="68" t="s">
        <v>609</v>
      </c>
      <c r="C69" s="41" t="s">
        <v>610</v>
      </c>
      <c r="D69" s="2"/>
      <c r="E69" s="10"/>
      <c r="F69" s="10"/>
      <c r="G69" s="10"/>
    </row>
    <row r="70" spans="1:8" ht="31.2">
      <c r="A70" s="46" t="s">
        <v>611</v>
      </c>
      <c r="B70" s="68" t="s">
        <v>612</v>
      </c>
      <c r="C70" s="41" t="s">
        <v>613</v>
      </c>
      <c r="D70" s="2"/>
      <c r="E70" s="10"/>
      <c r="F70" s="10"/>
      <c r="G70" s="10"/>
    </row>
    <row r="71" spans="1:8" ht="31.2">
      <c r="A71" s="46" t="s">
        <v>614</v>
      </c>
      <c r="B71" s="68" t="s">
        <v>615</v>
      </c>
      <c r="C71" s="41" t="s">
        <v>613</v>
      </c>
      <c r="D71" s="49" t="s">
        <v>190</v>
      </c>
      <c r="E71" s="10"/>
      <c r="F71" s="10"/>
      <c r="G71" s="10"/>
    </row>
    <row r="72" spans="1:8">
      <c r="A72" s="46" t="s">
        <v>616</v>
      </c>
      <c r="B72" s="68" t="s">
        <v>617</v>
      </c>
      <c r="C72" s="41" t="s">
        <v>613</v>
      </c>
      <c r="D72" s="2"/>
      <c r="E72" s="10"/>
      <c r="F72" s="10"/>
      <c r="G72" s="10"/>
    </row>
    <row r="73" spans="1:8" ht="31.2">
      <c r="A73" s="46" t="s">
        <v>618</v>
      </c>
      <c r="B73" s="68" t="s">
        <v>619</v>
      </c>
      <c r="C73" s="41" t="s">
        <v>613</v>
      </c>
      <c r="D73" s="2"/>
      <c r="E73" s="10"/>
      <c r="F73" s="10"/>
      <c r="G73" s="10"/>
    </row>
    <row r="74" spans="1:8" ht="31.2">
      <c r="A74" s="46" t="s">
        <v>620</v>
      </c>
      <c r="B74" s="68" t="s">
        <v>621</v>
      </c>
      <c r="C74" s="41">
        <v>0</v>
      </c>
      <c r="D74" s="2"/>
      <c r="E74" s="10"/>
      <c r="F74" s="10"/>
      <c r="G74" s="10"/>
    </row>
    <row r="75" spans="1:8" ht="31.2">
      <c r="A75" s="46" t="s">
        <v>622</v>
      </c>
      <c r="B75" s="68" t="s">
        <v>623</v>
      </c>
      <c r="C75" s="41">
        <v>0</v>
      </c>
      <c r="D75" s="49" t="s">
        <v>181</v>
      </c>
      <c r="E75" s="10"/>
      <c r="F75" s="10"/>
      <c r="G75" s="10"/>
    </row>
    <row r="76" spans="1:8" ht="31.2">
      <c r="A76" s="46" t="s">
        <v>624</v>
      </c>
      <c r="B76" s="68" t="s">
        <v>625</v>
      </c>
      <c r="C76" s="41" t="s">
        <v>626</v>
      </c>
      <c r="D76" s="49"/>
      <c r="E76" s="10"/>
      <c r="F76" s="10"/>
      <c r="G76" s="10"/>
    </row>
    <row r="77" spans="1:8" ht="31.2">
      <c r="A77" s="46" t="s">
        <v>627</v>
      </c>
      <c r="B77" s="68" t="s">
        <v>628</v>
      </c>
      <c r="C77" s="41">
        <v>0</v>
      </c>
      <c r="D77" s="49"/>
      <c r="E77" s="10"/>
      <c r="F77" s="10"/>
      <c r="G77" s="10"/>
    </row>
    <row r="78" spans="1:8">
      <c r="A78" s="46" t="s">
        <v>629</v>
      </c>
      <c r="B78" s="68" t="s">
        <v>630</v>
      </c>
      <c r="C78" s="41">
        <v>0</v>
      </c>
      <c r="D78" s="49" t="s">
        <v>319</v>
      </c>
      <c r="E78" s="10"/>
      <c r="F78" s="10"/>
      <c r="G78" s="10"/>
    </row>
    <row r="79" spans="1:8" ht="31.2">
      <c r="A79" s="46" t="s">
        <v>309</v>
      </c>
      <c r="B79" s="68" t="s">
        <v>310</v>
      </c>
      <c r="C79" s="41" t="s">
        <v>631</v>
      </c>
      <c r="D79" s="49" t="s">
        <v>312</v>
      </c>
      <c r="E79" s="10"/>
      <c r="F79" s="10"/>
      <c r="G79" s="10"/>
    </row>
    <row r="80" spans="1:8">
      <c r="A80" s="13"/>
      <c r="B80" s="10"/>
      <c r="C80" s="10"/>
      <c r="D80" s="10"/>
      <c r="E80" s="10"/>
      <c r="F80" s="10"/>
      <c r="G80" s="10"/>
      <c r="H80" s="10"/>
    </row>
    <row r="81" spans="1:8">
      <c r="A81" s="13"/>
      <c r="B81" s="10"/>
      <c r="C81" s="10"/>
      <c r="D81" s="10"/>
      <c r="E81" s="10"/>
      <c r="F81" s="10"/>
      <c r="G81" s="10"/>
      <c r="H81" s="10"/>
    </row>
    <row r="82" spans="1:8">
      <c r="A82" s="113" t="s">
        <v>196</v>
      </c>
      <c r="B82" s="113"/>
      <c r="C82" s="113"/>
      <c r="D82" s="113"/>
      <c r="E82" s="113"/>
      <c r="F82" s="113"/>
      <c r="G82" s="113"/>
      <c r="H82" s="113"/>
    </row>
    <row r="83" spans="1:8">
      <c r="A83" s="14" t="s">
        <v>1432</v>
      </c>
      <c r="B83" s="14" t="s">
        <v>197</v>
      </c>
      <c r="C83" s="14" t="s">
        <v>198</v>
      </c>
      <c r="D83" s="14" t="s">
        <v>199</v>
      </c>
      <c r="E83" s="14" t="s">
        <v>200</v>
      </c>
      <c r="F83" s="14" t="s">
        <v>202</v>
      </c>
      <c r="G83" s="14" t="s">
        <v>21</v>
      </c>
      <c r="H83" s="14" t="s">
        <v>203</v>
      </c>
    </row>
    <row r="84" spans="1:8" ht="31.2">
      <c r="A84" s="19">
        <v>43550</v>
      </c>
      <c r="B84" s="19"/>
      <c r="C84" s="19"/>
      <c r="D84" s="19"/>
      <c r="E84" s="19"/>
      <c r="F84" s="51" t="s">
        <v>1248</v>
      </c>
      <c r="G84" s="52" t="s">
        <v>1249</v>
      </c>
      <c r="H84" s="4"/>
    </row>
    <row r="85" spans="1:8" ht="31.2">
      <c r="A85" s="19">
        <v>43563</v>
      </c>
      <c r="B85" s="53"/>
      <c r="C85" s="53"/>
      <c r="D85" s="53"/>
      <c r="E85" s="53"/>
      <c r="F85" s="51" t="s">
        <v>1250</v>
      </c>
      <c r="G85" s="52" t="s">
        <v>1251</v>
      </c>
      <c r="H85" s="26"/>
    </row>
    <row r="86" spans="1:8" ht="31.2">
      <c r="A86" s="19">
        <v>43564</v>
      </c>
      <c r="B86" s="53"/>
      <c r="C86" s="53"/>
      <c r="D86" s="53"/>
      <c r="E86" s="53"/>
      <c r="F86" s="80" t="s">
        <v>1679</v>
      </c>
      <c r="G86" s="52" t="s">
        <v>1252</v>
      </c>
      <c r="H86" s="26"/>
    </row>
    <row r="87" spans="1:8" ht="31.2">
      <c r="A87" s="19">
        <v>43571</v>
      </c>
      <c r="B87" s="53"/>
      <c r="C87" s="53"/>
      <c r="D87" s="53"/>
      <c r="E87" s="53"/>
      <c r="F87" s="51" t="s">
        <v>1253</v>
      </c>
      <c r="G87" s="52" t="s">
        <v>1251</v>
      </c>
      <c r="H87" s="26"/>
    </row>
    <row r="88" spans="1:8" ht="31.2">
      <c r="A88" s="19">
        <v>43573</v>
      </c>
      <c r="B88" s="53"/>
      <c r="C88" s="53"/>
      <c r="D88" s="53"/>
      <c r="E88" s="53"/>
      <c r="F88" s="51" t="s">
        <v>1254</v>
      </c>
      <c r="G88" s="52" t="s">
        <v>1255</v>
      </c>
      <c r="H88" s="26"/>
    </row>
    <row r="89" spans="1:8">
      <c r="A89" s="19">
        <v>43576</v>
      </c>
      <c r="B89" s="53"/>
      <c r="C89" s="53"/>
      <c r="D89" s="53"/>
      <c r="E89" s="53"/>
      <c r="F89" s="51" t="s">
        <v>1256</v>
      </c>
      <c r="G89" s="52" t="s">
        <v>1257</v>
      </c>
      <c r="H89" s="26"/>
    </row>
    <row r="90" spans="1:8">
      <c r="A90" s="19">
        <v>43579</v>
      </c>
      <c r="B90" s="53"/>
      <c r="C90" s="53"/>
      <c r="D90" s="53"/>
      <c r="E90" s="53"/>
      <c r="F90" s="51" t="s">
        <v>1258</v>
      </c>
      <c r="G90" s="52" t="s">
        <v>1259</v>
      </c>
      <c r="H90" s="26"/>
    </row>
    <row r="91" spans="1:8" ht="31.2">
      <c r="A91" s="19">
        <v>43580</v>
      </c>
      <c r="B91" s="53"/>
      <c r="C91" s="53"/>
      <c r="D91" s="53"/>
      <c r="E91" s="53"/>
      <c r="F91" s="51" t="s">
        <v>1260</v>
      </c>
      <c r="G91" s="52" t="s">
        <v>1261</v>
      </c>
      <c r="H91" s="26"/>
    </row>
    <row r="92" spans="1:8" ht="31.2">
      <c r="A92" s="19">
        <v>43586</v>
      </c>
      <c r="B92" s="53"/>
      <c r="C92" s="53"/>
      <c r="D92" s="53"/>
      <c r="E92" s="53"/>
      <c r="F92" s="51" t="s">
        <v>1262</v>
      </c>
      <c r="G92" s="52" t="s">
        <v>1263</v>
      </c>
      <c r="H92" s="26"/>
    </row>
    <row r="93" spans="1:8" ht="31.2">
      <c r="A93" s="19">
        <v>43588</v>
      </c>
      <c r="B93" s="53"/>
      <c r="C93" s="53"/>
      <c r="D93" s="53"/>
      <c r="E93" s="53"/>
      <c r="F93" s="51" t="s">
        <v>1264</v>
      </c>
      <c r="G93" s="52" t="s">
        <v>1263</v>
      </c>
      <c r="H93" s="26"/>
    </row>
    <row r="94" spans="1:8" ht="31.2">
      <c r="A94" s="19">
        <v>43593</v>
      </c>
      <c r="B94" s="53"/>
      <c r="C94" s="53"/>
      <c r="D94" s="53"/>
      <c r="E94" s="53"/>
      <c r="F94" s="51" t="s">
        <v>1265</v>
      </c>
      <c r="G94" s="52" t="s">
        <v>1263</v>
      </c>
      <c r="H94" s="26"/>
    </row>
    <row r="95" spans="1:8" ht="31.2">
      <c r="A95" s="19">
        <v>43594</v>
      </c>
      <c r="B95" s="53"/>
      <c r="C95" s="53"/>
      <c r="D95" s="53"/>
      <c r="E95" s="53"/>
      <c r="F95" s="51" t="s">
        <v>1266</v>
      </c>
      <c r="G95" s="52" t="s">
        <v>1263</v>
      </c>
      <c r="H95" s="26"/>
    </row>
    <row r="96" spans="1:8" ht="31.2">
      <c r="A96" s="19">
        <v>43595</v>
      </c>
      <c r="B96" s="53"/>
      <c r="C96" s="53"/>
      <c r="D96" s="53"/>
      <c r="E96" s="53"/>
      <c r="F96" s="51" t="s">
        <v>1267</v>
      </c>
      <c r="G96" s="52" t="s">
        <v>1268</v>
      </c>
      <c r="H96" s="26"/>
    </row>
    <row r="97" spans="1:8" ht="31.2">
      <c r="A97" s="19">
        <v>43596</v>
      </c>
      <c r="B97" s="53"/>
      <c r="C97" s="53"/>
      <c r="D97" s="53"/>
      <c r="E97" s="53"/>
      <c r="F97" s="51" t="s">
        <v>1269</v>
      </c>
      <c r="G97" s="52" t="s">
        <v>1268</v>
      </c>
      <c r="H97" s="26"/>
    </row>
    <row r="98" spans="1:8">
      <c r="A98" s="19">
        <v>43609</v>
      </c>
      <c r="B98" s="53"/>
      <c r="C98" s="53"/>
      <c r="D98" s="53"/>
      <c r="E98" s="53"/>
      <c r="F98" s="51" t="s">
        <v>1270</v>
      </c>
      <c r="G98" s="52" t="s">
        <v>568</v>
      </c>
      <c r="H98" s="26"/>
    </row>
    <row r="99" spans="1:8">
      <c r="A99" s="19">
        <v>43610</v>
      </c>
      <c r="B99" s="53"/>
      <c r="C99" s="53"/>
      <c r="D99" s="53"/>
      <c r="E99" s="53"/>
      <c r="F99" s="51" t="s">
        <v>1271</v>
      </c>
      <c r="G99" s="52" t="s">
        <v>568</v>
      </c>
      <c r="H99" s="26"/>
    </row>
    <row r="100" spans="1:8" ht="31.2">
      <c r="A100" s="19">
        <v>43612</v>
      </c>
      <c r="B100" s="53"/>
      <c r="C100" s="53"/>
      <c r="D100" s="53"/>
      <c r="E100" s="53"/>
      <c r="F100" s="51" t="s">
        <v>1272</v>
      </c>
      <c r="G100" s="52" t="s">
        <v>1273</v>
      </c>
      <c r="H100" s="26"/>
    </row>
  </sheetData>
  <mergeCells count="8">
    <mergeCell ref="A34:B34"/>
    <mergeCell ref="A44:D44"/>
    <mergeCell ref="A82:H82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0E00-000000000000}">
      <formula1>"Tags Normal,Tags Reversed,Local"</formula1>
    </dataValidation>
    <dataValidation type="list" allowBlank="1" showInputMessage="1" showErrorMessage="1" sqref="B29 B31 B33 B35 B19:B21" xr:uid="{00000000-0002-0000-0E00-000001000000}">
      <formula1>"Checked,Unchecked"</formula1>
    </dataValidation>
    <dataValidation type="list" allowBlank="1" showInputMessage="1" showErrorMessage="1" sqref="B25" xr:uid="{00000000-0002-0000-0E00-000002000000}">
      <formula1>"N/A,Tags Normal,Tags Reversed,Direct Assignment"</formula1>
    </dataValidation>
    <dataValidation type="list" allowBlank="1" showInputMessage="1" showErrorMessage="1" sqref="B37" xr:uid="{00000000-0002-0000-0E00-000003000000}">
      <formula1>"JSON,XML,CEF,LEEF,Key-Value Pairs,Delimited,Limited Structure"</formula1>
    </dataValidation>
    <dataValidation type="list" allowBlank="1" showInputMessage="1" showErrorMessage="1" sqref="B23:B24" xr:uid="{00000000-0002-0000-0E00-000004000000}">
      <formula1>"N/A,Tags,Log Message Source"</formula1>
    </dataValidation>
  </dataValidation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H70"/>
  <sheetViews>
    <sheetView topLeftCell="A12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632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633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634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140.4">
      <c r="A41" s="8" t="s">
        <v>48</v>
      </c>
      <c r="B41" s="11" t="s">
        <v>635</v>
      </c>
      <c r="C41" s="13" t="s">
        <v>636</v>
      </c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21" t="s">
        <v>343</v>
      </c>
      <c r="C46" s="16">
        <v>43598</v>
      </c>
      <c r="D46" s="2"/>
      <c r="E46" s="10"/>
      <c r="F46" s="10"/>
      <c r="G46" s="10"/>
    </row>
    <row r="47" spans="1:8">
      <c r="A47" s="4" t="s">
        <v>56</v>
      </c>
      <c r="B47" s="21" t="s">
        <v>344</v>
      </c>
      <c r="C47" s="17">
        <v>0.67341435185185206</v>
      </c>
      <c r="D47" s="2"/>
      <c r="E47" s="10"/>
      <c r="F47" s="10"/>
      <c r="G47" s="10"/>
    </row>
    <row r="48" spans="1:8">
      <c r="A48" s="4" t="s">
        <v>58</v>
      </c>
      <c r="B48" s="21" t="s">
        <v>210</v>
      </c>
      <c r="C48" s="25" t="s">
        <v>1449</v>
      </c>
      <c r="D48" s="18" t="s">
        <v>67</v>
      </c>
      <c r="E48" s="10"/>
      <c r="F48" s="10"/>
      <c r="G48" s="10"/>
    </row>
    <row r="49" spans="1:8" ht="31.2">
      <c r="A49" s="4" t="s">
        <v>60</v>
      </c>
      <c r="B49" s="21" t="s">
        <v>286</v>
      </c>
      <c r="C49" s="5" t="s">
        <v>287</v>
      </c>
      <c r="D49" s="18" t="s">
        <v>63</v>
      </c>
      <c r="E49" s="10"/>
      <c r="F49" s="10"/>
      <c r="G49" s="10"/>
    </row>
    <row r="50" spans="1:8" ht="31.2">
      <c r="A50" s="4" t="s">
        <v>64</v>
      </c>
      <c r="B50" s="21" t="s">
        <v>637</v>
      </c>
      <c r="C50" s="5" t="s">
        <v>638</v>
      </c>
      <c r="D50" s="18"/>
      <c r="E50" s="10"/>
      <c r="F50" s="10"/>
      <c r="G50" s="10"/>
    </row>
    <row r="51" spans="1:8" ht="31.2">
      <c r="A51" s="4" t="s">
        <v>68</v>
      </c>
      <c r="B51" s="21" t="s">
        <v>347</v>
      </c>
      <c r="C51" s="5" t="s">
        <v>348</v>
      </c>
      <c r="D51" s="19" t="s">
        <v>71</v>
      </c>
      <c r="E51" s="10"/>
      <c r="F51" s="10"/>
      <c r="G51" s="10"/>
    </row>
    <row r="52" spans="1:8">
      <c r="A52" s="4" t="s">
        <v>72</v>
      </c>
      <c r="B52" s="21" t="s">
        <v>215</v>
      </c>
      <c r="C52" s="5" t="s">
        <v>258</v>
      </c>
      <c r="D52" s="2"/>
      <c r="E52" s="10"/>
      <c r="F52" s="10"/>
      <c r="G52" s="10"/>
    </row>
    <row r="53" spans="1:8">
      <c r="A53" s="4" t="s">
        <v>75</v>
      </c>
      <c r="B53" s="21" t="s">
        <v>216</v>
      </c>
      <c r="C53" s="5">
        <v>1557788982</v>
      </c>
      <c r="D53" s="2"/>
      <c r="E53" s="10"/>
      <c r="F53" s="10"/>
      <c r="G53" s="10"/>
    </row>
    <row r="54" spans="1:8">
      <c r="A54" s="4" t="s">
        <v>292</v>
      </c>
      <c r="B54" s="21" t="s">
        <v>293</v>
      </c>
      <c r="C54" s="5" t="s">
        <v>639</v>
      </c>
      <c r="D54" s="2"/>
      <c r="E54" s="10"/>
      <c r="F54" s="10"/>
      <c r="G54" s="10"/>
    </row>
    <row r="55" spans="1:8">
      <c r="A55" s="4" t="s">
        <v>640</v>
      </c>
      <c r="B55" s="21" t="s">
        <v>641</v>
      </c>
      <c r="C55" s="5" t="s">
        <v>642</v>
      </c>
      <c r="D55" s="1" t="s">
        <v>302</v>
      </c>
      <c r="E55" s="10"/>
      <c r="F55" s="10"/>
      <c r="G55" s="10"/>
    </row>
    <row r="56" spans="1:8" ht="31.2">
      <c r="A56" s="4" t="s">
        <v>119</v>
      </c>
      <c r="B56" s="21" t="s">
        <v>643</v>
      </c>
      <c r="C56" s="5" t="s">
        <v>644</v>
      </c>
      <c r="D56" s="1" t="s">
        <v>477</v>
      </c>
      <c r="E56" s="10"/>
      <c r="F56" s="10"/>
      <c r="G56" s="10"/>
    </row>
    <row r="57" spans="1:8">
      <c r="A57" s="4" t="s">
        <v>645</v>
      </c>
      <c r="B57" s="21" t="s">
        <v>646</v>
      </c>
      <c r="C57" s="5" t="s">
        <v>218</v>
      </c>
      <c r="D57" s="1" t="s">
        <v>80</v>
      </c>
      <c r="E57" s="10"/>
      <c r="F57" s="10"/>
      <c r="G57" s="10"/>
    </row>
    <row r="58" spans="1:8">
      <c r="A58" s="4" t="s">
        <v>647</v>
      </c>
      <c r="B58" s="21" t="s">
        <v>648</v>
      </c>
      <c r="C58" s="5" t="s">
        <v>649</v>
      </c>
      <c r="D58" s="1"/>
      <c r="E58" s="10"/>
      <c r="F58" s="10"/>
      <c r="G58" s="10"/>
    </row>
    <row r="59" spans="1:8">
      <c r="A59" s="4" t="s">
        <v>650</v>
      </c>
      <c r="B59" s="21" t="s">
        <v>651</v>
      </c>
      <c r="C59" s="5" t="s">
        <v>652</v>
      </c>
      <c r="D59" s="1"/>
      <c r="E59" s="10"/>
      <c r="F59" s="10"/>
      <c r="G59" s="10"/>
    </row>
    <row r="60" spans="1:8" ht="31.2">
      <c r="A60" s="4" t="s">
        <v>309</v>
      </c>
      <c r="B60" s="21" t="s">
        <v>310</v>
      </c>
      <c r="C60" s="5" t="s">
        <v>653</v>
      </c>
      <c r="D60" s="1" t="s">
        <v>312</v>
      </c>
      <c r="E60" s="10"/>
      <c r="F60" s="10"/>
      <c r="G60" s="10"/>
    </row>
    <row r="61" spans="1:8">
      <c r="A61" s="13"/>
      <c r="B61" s="10"/>
      <c r="C61" s="10"/>
      <c r="D61" s="10"/>
      <c r="E61" s="10"/>
      <c r="F61" s="10"/>
      <c r="G61" s="10"/>
      <c r="H61" s="10"/>
    </row>
    <row r="62" spans="1:8">
      <c r="A62" s="13"/>
      <c r="B62" s="10"/>
      <c r="C62" s="10"/>
      <c r="D62" s="10"/>
      <c r="E62" s="10"/>
      <c r="F62" s="10"/>
      <c r="G62" s="10"/>
      <c r="H62" s="10"/>
    </row>
    <row r="63" spans="1:8">
      <c r="A63" s="113" t="s">
        <v>196</v>
      </c>
      <c r="B63" s="113"/>
      <c r="C63" s="113"/>
      <c r="D63" s="113"/>
      <c r="E63" s="113"/>
      <c r="F63" s="113"/>
      <c r="G63" s="113"/>
      <c r="H63" s="113"/>
    </row>
    <row r="64" spans="1:8">
      <c r="A64" s="14" t="s">
        <v>197</v>
      </c>
      <c r="B64" s="14" t="s">
        <v>198</v>
      </c>
      <c r="C64" s="14" t="s">
        <v>199</v>
      </c>
      <c r="D64" s="14" t="s">
        <v>200</v>
      </c>
      <c r="E64" s="14" t="s">
        <v>201</v>
      </c>
      <c r="F64" s="14" t="s">
        <v>202</v>
      </c>
      <c r="G64" s="14" t="s">
        <v>21</v>
      </c>
      <c r="H64" s="14" t="s">
        <v>203</v>
      </c>
    </row>
    <row r="65" spans="1:8">
      <c r="A65" s="19">
        <v>53200</v>
      </c>
      <c r="B65" s="19"/>
      <c r="C65" s="19"/>
      <c r="D65" s="19"/>
      <c r="E65" s="19"/>
      <c r="F65" s="26" t="s">
        <v>1680</v>
      </c>
      <c r="G65" s="4" t="s">
        <v>1664</v>
      </c>
      <c r="H65" s="4"/>
    </row>
    <row r="66" spans="1:8">
      <c r="A66" s="19">
        <v>53201</v>
      </c>
      <c r="B66" s="26"/>
      <c r="C66" s="26"/>
      <c r="D66" s="26"/>
      <c r="E66" s="26"/>
      <c r="F66" s="26" t="s">
        <v>1681</v>
      </c>
      <c r="G66" s="26" t="s">
        <v>1656</v>
      </c>
      <c r="H66" s="26"/>
    </row>
    <row r="67" spans="1:8">
      <c r="A67" s="19">
        <v>53202</v>
      </c>
      <c r="B67" s="26"/>
      <c r="C67" s="26"/>
      <c r="D67" s="26"/>
      <c r="E67" s="26"/>
      <c r="F67" s="26" t="s">
        <v>1682</v>
      </c>
      <c r="G67" s="26" t="s">
        <v>1164</v>
      </c>
      <c r="H67" s="26"/>
    </row>
    <row r="68" spans="1:8">
      <c r="A68" s="19">
        <v>53203</v>
      </c>
      <c r="B68" s="26"/>
      <c r="C68" s="26"/>
      <c r="D68" s="26"/>
      <c r="E68" s="26"/>
      <c r="F68" s="26" t="s">
        <v>1683</v>
      </c>
      <c r="G68" s="26" t="s">
        <v>1384</v>
      </c>
      <c r="H68" s="26"/>
    </row>
    <row r="69" spans="1:8">
      <c r="A69" s="19">
        <v>53204</v>
      </c>
      <c r="B69" s="26"/>
      <c r="C69" s="26"/>
      <c r="D69" s="26"/>
      <c r="E69" s="26"/>
      <c r="F69" s="26" t="s">
        <v>1684</v>
      </c>
      <c r="G69" s="26" t="s">
        <v>1685</v>
      </c>
      <c r="H69" s="26"/>
    </row>
    <row r="70" spans="1:8" ht="31.2">
      <c r="A70" s="19">
        <v>53205</v>
      </c>
      <c r="B70" s="26"/>
      <c r="C70" s="26"/>
      <c r="D70" s="26"/>
      <c r="E70" s="26"/>
      <c r="F70" s="26" t="s">
        <v>1686</v>
      </c>
      <c r="G70" s="3" t="s">
        <v>1687</v>
      </c>
      <c r="H70" s="26"/>
    </row>
  </sheetData>
  <mergeCells count="8">
    <mergeCell ref="A34:B34"/>
    <mergeCell ref="A44:D44"/>
    <mergeCell ref="A63:H63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0F00-000000000000}">
      <formula1>"Tags Normal,Tags Reversed,Local"</formula1>
    </dataValidation>
    <dataValidation type="list" allowBlank="1" showInputMessage="1" showErrorMessage="1" sqref="B29 B31 B33 B35 B19:B21" xr:uid="{00000000-0002-0000-0F00-000001000000}">
      <formula1>"Checked,Unchecked"</formula1>
    </dataValidation>
    <dataValidation type="list" allowBlank="1" showInputMessage="1" showErrorMessage="1" sqref="B25" xr:uid="{00000000-0002-0000-0F00-000002000000}">
      <formula1>"N/A,Tags Normal,Tags Reversed,Direct Assignment"</formula1>
    </dataValidation>
    <dataValidation type="list" allowBlank="1" showInputMessage="1" showErrorMessage="1" sqref="B37" xr:uid="{00000000-0002-0000-0F00-000003000000}">
      <formula1>"JSON,XML,CEF,LEEF,Key-Value Pairs,Delimited,Limited Structure"</formula1>
    </dataValidation>
    <dataValidation type="list" allowBlank="1" showInputMessage="1" showErrorMessage="1" sqref="B23:B24" xr:uid="{00000000-0002-0000-0F00-000004000000}">
      <formula1>"N/A,Tags,Log Message Source"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K92"/>
  <sheetViews>
    <sheetView topLeftCell="E79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1.296875" style="7" customWidth="1"/>
    <col min="5" max="5" width="39.09765625" style="7" customWidth="1"/>
    <col min="6" max="6" width="47.19921875" style="7" customWidth="1"/>
    <col min="7" max="7" width="43.296875" style="7" customWidth="1"/>
    <col min="8" max="8" width="40.796875" style="7" customWidth="1"/>
    <col min="9" max="9" width="41" style="7" customWidth="1"/>
    <col min="10" max="10" width="43.296875" style="7" customWidth="1"/>
    <col min="11" max="11" width="38.59765625" style="7" customWidth="1"/>
    <col min="12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654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655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11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11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11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11">
      <c r="A36" s="11"/>
      <c r="B36" s="9"/>
      <c r="C36" s="10"/>
      <c r="D36" s="10"/>
      <c r="E36" s="10"/>
      <c r="F36" s="10"/>
      <c r="G36" s="10"/>
      <c r="H36" s="10"/>
    </row>
    <row r="37" spans="1:11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11">
      <c r="A38" s="11"/>
      <c r="B38" s="9"/>
      <c r="C38" s="10"/>
      <c r="D38" s="10"/>
      <c r="E38" s="10"/>
      <c r="F38" s="10"/>
      <c r="G38" s="10"/>
      <c r="H38" s="10"/>
    </row>
    <row r="39" spans="1:11">
      <c r="A39" s="8" t="s">
        <v>46</v>
      </c>
      <c r="B39" s="9" t="s">
        <v>656</v>
      </c>
      <c r="C39" s="10"/>
      <c r="D39" s="10"/>
      <c r="E39" s="10"/>
      <c r="F39" s="10"/>
      <c r="G39" s="10"/>
      <c r="H39" s="10"/>
    </row>
    <row r="40" spans="1:11">
      <c r="A40" s="11"/>
      <c r="B40" s="9"/>
      <c r="C40" s="10"/>
      <c r="D40" s="10"/>
      <c r="E40" s="10"/>
      <c r="F40" s="10"/>
      <c r="G40" s="10"/>
      <c r="H40" s="10"/>
    </row>
    <row r="41" spans="1:11" ht="296.39999999999998">
      <c r="A41" s="8" t="s">
        <v>48</v>
      </c>
      <c r="B41" s="11" t="s">
        <v>657</v>
      </c>
      <c r="C41" s="13" t="s">
        <v>658</v>
      </c>
      <c r="D41" s="13" t="s">
        <v>659</v>
      </c>
      <c r="E41" s="13" t="s">
        <v>660</v>
      </c>
      <c r="F41" s="13" t="s">
        <v>661</v>
      </c>
      <c r="G41" s="13" t="s">
        <v>662</v>
      </c>
      <c r="H41" s="13" t="s">
        <v>663</v>
      </c>
      <c r="I41" s="13" t="s">
        <v>664</v>
      </c>
      <c r="J41" s="13" t="s">
        <v>665</v>
      </c>
      <c r="K41" s="13" t="s">
        <v>666</v>
      </c>
    </row>
    <row r="42" spans="1:11">
      <c r="A42" s="8"/>
      <c r="B42" s="9"/>
      <c r="C42" s="10"/>
      <c r="D42" s="10"/>
      <c r="E42" s="10"/>
      <c r="F42" s="10"/>
      <c r="G42" s="10"/>
      <c r="H42" s="10"/>
    </row>
    <row r="43" spans="1:11">
      <c r="A43" s="13"/>
      <c r="B43" s="10"/>
      <c r="C43" s="10"/>
      <c r="D43" s="10"/>
      <c r="E43" s="10"/>
      <c r="F43" s="10"/>
      <c r="G43" s="10"/>
      <c r="H43" s="10"/>
    </row>
    <row r="44" spans="1:11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11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11">
      <c r="A46" s="4" t="s">
        <v>54</v>
      </c>
      <c r="B46" s="21" t="s">
        <v>667</v>
      </c>
      <c r="C46" s="27">
        <v>43516</v>
      </c>
      <c r="D46" s="2"/>
      <c r="E46" s="10"/>
      <c r="F46" s="10"/>
      <c r="G46" s="10"/>
    </row>
    <row r="47" spans="1:11">
      <c r="A47" s="4" t="s">
        <v>56</v>
      </c>
      <c r="B47" s="21" t="s">
        <v>668</v>
      </c>
      <c r="C47" s="28">
        <v>0.41483796296296299</v>
      </c>
      <c r="D47" s="2"/>
      <c r="E47" s="10"/>
      <c r="F47" s="10"/>
      <c r="G47" s="10"/>
    </row>
    <row r="48" spans="1:11">
      <c r="A48" s="4" t="s">
        <v>58</v>
      </c>
      <c r="B48" s="21" t="s">
        <v>669</v>
      </c>
      <c r="C48" s="73" t="s">
        <v>1450</v>
      </c>
      <c r="D48" s="18" t="s">
        <v>67</v>
      </c>
      <c r="E48" s="10"/>
      <c r="F48" s="10"/>
      <c r="G48" s="10"/>
    </row>
    <row r="49" spans="1:7">
      <c r="A49" s="4" t="s">
        <v>60</v>
      </c>
      <c r="B49" s="21" t="s">
        <v>670</v>
      </c>
      <c r="C49" s="29" t="s">
        <v>287</v>
      </c>
      <c r="D49" s="18" t="s">
        <v>63</v>
      </c>
      <c r="E49" s="10"/>
      <c r="F49" s="10"/>
      <c r="G49" s="10"/>
    </row>
    <row r="50" spans="1:7">
      <c r="A50" s="4" t="s">
        <v>64</v>
      </c>
      <c r="B50" s="21" t="s">
        <v>671</v>
      </c>
      <c r="C50" s="29" t="s">
        <v>672</v>
      </c>
      <c r="D50" s="18"/>
      <c r="E50" s="10"/>
      <c r="F50" s="10"/>
      <c r="G50" s="10"/>
    </row>
    <row r="51" spans="1:7">
      <c r="A51" s="4" t="s">
        <v>68</v>
      </c>
      <c r="B51" s="21" t="s">
        <v>673</v>
      </c>
      <c r="C51" s="29" t="s">
        <v>70</v>
      </c>
      <c r="D51" s="19" t="s">
        <v>71</v>
      </c>
      <c r="E51" s="10"/>
      <c r="F51" s="10"/>
      <c r="G51" s="10"/>
    </row>
    <row r="52" spans="1:7" ht="31.2">
      <c r="A52" s="4" t="s">
        <v>72</v>
      </c>
      <c r="B52" s="21" t="s">
        <v>674</v>
      </c>
      <c r="C52" s="29" t="s">
        <v>258</v>
      </c>
      <c r="D52" s="2"/>
      <c r="E52" s="10"/>
      <c r="F52" s="10"/>
      <c r="G52" s="10"/>
    </row>
    <row r="53" spans="1:7">
      <c r="A53" s="4" t="s">
        <v>75</v>
      </c>
      <c r="B53" s="21" t="s">
        <v>675</v>
      </c>
      <c r="C53" s="29">
        <v>1550685442</v>
      </c>
      <c r="D53" s="2"/>
      <c r="E53" s="10"/>
      <c r="F53" s="10"/>
      <c r="G53" s="10"/>
    </row>
    <row r="54" spans="1:7">
      <c r="A54" s="4" t="s">
        <v>292</v>
      </c>
      <c r="B54" s="21" t="s">
        <v>676</v>
      </c>
      <c r="C54" s="29" t="s">
        <v>677</v>
      </c>
      <c r="D54" s="1"/>
      <c r="E54" s="10"/>
      <c r="F54" s="10"/>
      <c r="G54" s="10"/>
    </row>
    <row r="55" spans="1:7">
      <c r="A55" s="4" t="s">
        <v>119</v>
      </c>
      <c r="B55" s="21" t="s">
        <v>678</v>
      </c>
      <c r="C55" s="29" t="s">
        <v>679</v>
      </c>
      <c r="D55" s="1" t="s">
        <v>122</v>
      </c>
      <c r="E55" s="10"/>
      <c r="F55" s="10"/>
      <c r="G55" s="10"/>
    </row>
    <row r="56" spans="1:7">
      <c r="A56" s="4" t="s">
        <v>309</v>
      </c>
      <c r="B56" s="21" t="s">
        <v>680</v>
      </c>
      <c r="C56" s="29" t="s">
        <v>681</v>
      </c>
      <c r="D56" s="1" t="s">
        <v>312</v>
      </c>
      <c r="E56" s="10"/>
      <c r="F56" s="10"/>
      <c r="G56" s="10"/>
    </row>
    <row r="57" spans="1:7">
      <c r="A57" s="4" t="s">
        <v>350</v>
      </c>
      <c r="B57" s="21" t="s">
        <v>682</v>
      </c>
      <c r="C57" s="29" t="s">
        <v>683</v>
      </c>
      <c r="D57" s="1" t="s">
        <v>352</v>
      </c>
      <c r="E57" s="10"/>
      <c r="F57" s="10"/>
      <c r="G57" s="10"/>
    </row>
    <row r="58" spans="1:7">
      <c r="A58" s="4" t="s">
        <v>491</v>
      </c>
      <c r="B58" s="21" t="s">
        <v>684</v>
      </c>
      <c r="C58" s="29" t="s">
        <v>218</v>
      </c>
      <c r="D58" s="1" t="s">
        <v>80</v>
      </c>
      <c r="E58" s="10"/>
      <c r="F58" s="10"/>
      <c r="G58" s="10"/>
    </row>
    <row r="59" spans="1:7">
      <c r="A59" s="4" t="s">
        <v>685</v>
      </c>
      <c r="B59" s="21" t="s">
        <v>682</v>
      </c>
      <c r="C59" s="31">
        <v>359376060400000</v>
      </c>
      <c r="D59" s="1"/>
      <c r="E59" s="10"/>
      <c r="F59" s="10"/>
      <c r="G59" s="10"/>
    </row>
    <row r="60" spans="1:7">
      <c r="A60" s="4" t="s">
        <v>686</v>
      </c>
      <c r="B60" s="21" t="s">
        <v>687</v>
      </c>
      <c r="C60" s="31">
        <v>30272050230000</v>
      </c>
      <c r="D60" s="2"/>
      <c r="E60" s="10"/>
      <c r="F60" s="10"/>
      <c r="G60" s="10"/>
    </row>
    <row r="61" spans="1:7">
      <c r="A61" s="4" t="s">
        <v>688</v>
      </c>
      <c r="B61" s="21" t="s">
        <v>689</v>
      </c>
      <c r="C61" s="31">
        <v>8.9302720403038093E+19</v>
      </c>
      <c r="D61" s="2"/>
      <c r="E61" s="10"/>
      <c r="F61" s="10"/>
      <c r="G61" s="10"/>
    </row>
    <row r="62" spans="1:7">
      <c r="A62" s="4" t="s">
        <v>690</v>
      </c>
      <c r="B62" s="21" t="s">
        <v>691</v>
      </c>
      <c r="C62" s="29">
        <v>16045060000</v>
      </c>
      <c r="D62" s="2"/>
      <c r="E62" s="10"/>
      <c r="F62" s="10"/>
      <c r="G62" s="10"/>
    </row>
    <row r="63" spans="1:7">
      <c r="A63" s="4" t="s">
        <v>692</v>
      </c>
      <c r="B63" s="21" t="s">
        <v>693</v>
      </c>
      <c r="C63" s="29" t="s">
        <v>694</v>
      </c>
      <c r="D63" s="2"/>
      <c r="E63" s="10"/>
      <c r="F63" s="10"/>
      <c r="G63" s="10"/>
    </row>
    <row r="64" spans="1:7" ht="31.2">
      <c r="A64" s="4" t="s">
        <v>695</v>
      </c>
      <c r="B64" s="21" t="s">
        <v>696</v>
      </c>
      <c r="C64" s="29" t="s">
        <v>697</v>
      </c>
      <c r="D64" s="2"/>
      <c r="E64" s="10"/>
      <c r="F64" s="10"/>
      <c r="G64" s="10"/>
    </row>
    <row r="65" spans="1:8">
      <c r="A65" s="4" t="s">
        <v>698</v>
      </c>
      <c r="B65" s="21" t="s">
        <v>699</v>
      </c>
      <c r="C65" s="29" t="s">
        <v>33</v>
      </c>
      <c r="D65" s="2"/>
      <c r="E65" s="10"/>
      <c r="F65" s="10"/>
      <c r="G65" s="10"/>
    </row>
    <row r="66" spans="1:8" ht="31.2">
      <c r="A66" s="4" t="s">
        <v>129</v>
      </c>
      <c r="B66" s="21" t="s">
        <v>700</v>
      </c>
      <c r="C66" s="29" t="s">
        <v>701</v>
      </c>
      <c r="D66" s="1" t="s">
        <v>132</v>
      </c>
      <c r="E66" s="10"/>
      <c r="F66" s="10"/>
      <c r="G66" s="10"/>
    </row>
    <row r="67" spans="1:8" ht="31.2">
      <c r="A67" s="4" t="s">
        <v>369</v>
      </c>
      <c r="B67" s="21" t="s">
        <v>702</v>
      </c>
      <c r="C67" s="29" t="s">
        <v>703</v>
      </c>
      <c r="D67" s="1" t="s">
        <v>372</v>
      </c>
      <c r="E67" s="10"/>
      <c r="F67" s="10"/>
      <c r="G67" s="10"/>
    </row>
    <row r="68" spans="1:8">
      <c r="A68" s="4" t="s">
        <v>704</v>
      </c>
      <c r="B68" s="21" t="s">
        <v>705</v>
      </c>
      <c r="C68" s="29" t="s">
        <v>706</v>
      </c>
      <c r="D68" s="2"/>
      <c r="E68" s="10"/>
      <c r="F68" s="10"/>
      <c r="G68" s="10"/>
    </row>
    <row r="69" spans="1:8" ht="31.2">
      <c r="A69" s="4" t="s">
        <v>707</v>
      </c>
      <c r="B69" s="21" t="s">
        <v>708</v>
      </c>
      <c r="C69" s="29" t="s">
        <v>709</v>
      </c>
      <c r="D69" s="2"/>
      <c r="E69" s="10"/>
      <c r="F69" s="10"/>
      <c r="G69" s="10"/>
    </row>
    <row r="70" spans="1:8" ht="31.2">
      <c r="A70" s="4" t="s">
        <v>710</v>
      </c>
      <c r="B70" s="21" t="s">
        <v>711</v>
      </c>
      <c r="C70" s="29" t="s">
        <v>712</v>
      </c>
      <c r="D70" s="14"/>
      <c r="E70" s="10"/>
      <c r="F70" s="10"/>
      <c r="G70" s="10"/>
    </row>
    <row r="71" spans="1:8">
      <c r="A71" s="4" t="s">
        <v>713</v>
      </c>
      <c r="B71" s="21" t="s">
        <v>714</v>
      </c>
      <c r="C71" s="29" t="s">
        <v>715</v>
      </c>
      <c r="D71" s="19"/>
      <c r="E71" s="10"/>
      <c r="F71" s="10"/>
      <c r="G71" s="10"/>
    </row>
    <row r="72" spans="1:8" ht="31.2">
      <c r="A72" s="4" t="s">
        <v>716</v>
      </c>
      <c r="B72" s="21" t="s">
        <v>717</v>
      </c>
      <c r="C72" s="29">
        <v>-54</v>
      </c>
      <c r="D72" s="4"/>
      <c r="E72" s="10"/>
      <c r="F72" s="10"/>
      <c r="G72" s="10"/>
    </row>
    <row r="73" spans="1:8">
      <c r="A73" s="4" t="s">
        <v>718</v>
      </c>
      <c r="B73" s="21" t="s">
        <v>719</v>
      </c>
      <c r="C73" s="29" t="s">
        <v>720</v>
      </c>
      <c r="D73" s="19"/>
      <c r="E73" s="10"/>
      <c r="F73" s="10"/>
      <c r="G73" s="10"/>
    </row>
    <row r="74" spans="1:8">
      <c r="A74" s="4" t="s">
        <v>167</v>
      </c>
      <c r="B74" s="21" t="s">
        <v>721</v>
      </c>
      <c r="C74" s="29">
        <v>7760</v>
      </c>
      <c r="D74" s="19" t="s">
        <v>166</v>
      </c>
      <c r="E74" s="10"/>
      <c r="F74" s="10"/>
      <c r="G74" s="10"/>
    </row>
    <row r="75" spans="1:8">
      <c r="A75" s="4" t="s">
        <v>164</v>
      </c>
      <c r="B75" s="21" t="s">
        <v>722</v>
      </c>
      <c r="C75" s="29">
        <v>3315</v>
      </c>
      <c r="D75" s="1" t="s">
        <v>169</v>
      </c>
      <c r="E75" s="10"/>
      <c r="F75" s="10"/>
      <c r="G75" s="10"/>
    </row>
    <row r="76" spans="1:8">
      <c r="A76" s="4" t="s">
        <v>723</v>
      </c>
      <c r="B76" s="21" t="s">
        <v>724</v>
      </c>
      <c r="C76" s="29">
        <v>2538</v>
      </c>
      <c r="D76" s="1"/>
      <c r="E76" s="10"/>
      <c r="F76" s="10"/>
      <c r="G76" s="10"/>
    </row>
    <row r="77" spans="1:8">
      <c r="A77" s="4" t="s">
        <v>725</v>
      </c>
      <c r="B77" s="21" t="s">
        <v>726</v>
      </c>
      <c r="C77" s="29">
        <v>567</v>
      </c>
      <c r="D77" s="2"/>
      <c r="E77" s="10"/>
      <c r="F77" s="10"/>
      <c r="G77" s="10"/>
    </row>
    <row r="78" spans="1:8">
      <c r="A78" s="13"/>
      <c r="B78" s="10"/>
      <c r="C78" s="10"/>
      <c r="D78" s="10"/>
      <c r="E78" s="10"/>
      <c r="F78" s="10"/>
      <c r="G78" s="10"/>
      <c r="H78" s="10"/>
    </row>
    <row r="79" spans="1:8">
      <c r="A79" s="13"/>
      <c r="B79" s="10"/>
      <c r="C79" s="10"/>
      <c r="D79" s="10"/>
      <c r="E79" s="10"/>
      <c r="F79" s="10"/>
      <c r="G79" s="10"/>
      <c r="H79" s="10"/>
    </row>
    <row r="80" spans="1:8">
      <c r="A80" s="113" t="s">
        <v>196</v>
      </c>
      <c r="B80" s="113"/>
      <c r="C80" s="113"/>
      <c r="D80" s="113"/>
      <c r="E80" s="113"/>
      <c r="F80" s="113"/>
      <c r="G80" s="113"/>
      <c r="H80" s="113"/>
    </row>
    <row r="81" spans="1:8">
      <c r="A81" s="14" t="s">
        <v>197</v>
      </c>
      <c r="B81" s="14" t="s">
        <v>198</v>
      </c>
      <c r="C81" s="14" t="s">
        <v>199</v>
      </c>
      <c r="D81" s="14" t="s">
        <v>200</v>
      </c>
      <c r="E81" s="14" t="s">
        <v>201</v>
      </c>
      <c r="F81" s="14" t="s">
        <v>202</v>
      </c>
      <c r="G81" s="14" t="s">
        <v>21</v>
      </c>
      <c r="H81" s="14" t="s">
        <v>203</v>
      </c>
    </row>
    <row r="82" spans="1:8" ht="31.2">
      <c r="A82" s="19">
        <v>46400</v>
      </c>
      <c r="B82" s="19"/>
      <c r="C82" s="19"/>
      <c r="D82" s="19"/>
      <c r="E82" s="19"/>
      <c r="F82" s="26" t="s">
        <v>1688</v>
      </c>
      <c r="G82" s="4" t="s">
        <v>1690</v>
      </c>
      <c r="H82" s="4"/>
    </row>
    <row r="83" spans="1:8" ht="31.2">
      <c r="A83" s="19">
        <v>46401</v>
      </c>
      <c r="B83" s="26"/>
      <c r="C83" s="26"/>
      <c r="D83" s="26"/>
      <c r="E83" s="26"/>
      <c r="F83" s="26" t="s">
        <v>1689</v>
      </c>
      <c r="G83" s="4" t="s">
        <v>1690</v>
      </c>
      <c r="H83" s="26"/>
    </row>
    <row r="84" spans="1:8">
      <c r="A84" s="19">
        <v>46402</v>
      </c>
      <c r="B84" s="26"/>
      <c r="C84" s="26"/>
      <c r="D84" s="26"/>
      <c r="E84" s="26"/>
      <c r="F84" s="26" t="s">
        <v>1691</v>
      </c>
      <c r="G84" s="26" t="s">
        <v>1133</v>
      </c>
      <c r="H84" s="26"/>
    </row>
    <row r="85" spans="1:8">
      <c r="A85" s="19">
        <v>46403</v>
      </c>
      <c r="B85" s="26"/>
      <c r="C85" s="26"/>
      <c r="D85" s="26"/>
      <c r="E85" s="26"/>
      <c r="F85" s="26" t="s">
        <v>1692</v>
      </c>
      <c r="G85" s="26" t="s">
        <v>1693</v>
      </c>
      <c r="H85" s="26"/>
    </row>
    <row r="86" spans="1:8">
      <c r="A86" s="19">
        <v>46404</v>
      </c>
      <c r="B86" s="26"/>
      <c r="C86" s="26"/>
      <c r="D86" s="26"/>
      <c r="E86" s="26"/>
      <c r="F86" s="26" t="s">
        <v>1694</v>
      </c>
      <c r="G86" s="26" t="s">
        <v>1131</v>
      </c>
      <c r="H86" s="26"/>
    </row>
    <row r="87" spans="1:8">
      <c r="A87" s="19">
        <v>46405</v>
      </c>
      <c r="B87" s="26"/>
      <c r="C87" s="26"/>
      <c r="D87" s="26"/>
      <c r="E87" s="26"/>
      <c r="F87" s="26" t="s">
        <v>1694</v>
      </c>
      <c r="G87" s="26" t="s">
        <v>1132</v>
      </c>
      <c r="H87" s="26"/>
    </row>
    <row r="88" spans="1:8">
      <c r="A88" s="19">
        <v>46406</v>
      </c>
      <c r="B88" s="26"/>
      <c r="C88" s="26"/>
      <c r="D88" s="26"/>
      <c r="E88" s="26"/>
      <c r="F88" s="26" t="s">
        <v>1695</v>
      </c>
      <c r="G88" s="26" t="s">
        <v>1133</v>
      </c>
      <c r="H88" s="26"/>
    </row>
    <row r="89" spans="1:8">
      <c r="A89" s="19">
        <v>46407</v>
      </c>
      <c r="B89" s="26"/>
      <c r="C89" s="26"/>
      <c r="D89" s="26"/>
      <c r="E89" s="26"/>
      <c r="F89" s="26" t="s">
        <v>1696</v>
      </c>
      <c r="G89" s="26" t="s">
        <v>1134</v>
      </c>
      <c r="H89" s="26"/>
    </row>
    <row r="90" spans="1:8">
      <c r="A90" s="19">
        <v>46408</v>
      </c>
      <c r="B90" s="26"/>
      <c r="C90" s="26"/>
      <c r="D90" s="26"/>
      <c r="E90" s="26"/>
      <c r="F90" s="26" t="s">
        <v>1697</v>
      </c>
      <c r="G90" s="26" t="s">
        <v>1144</v>
      </c>
      <c r="H90" s="26"/>
    </row>
    <row r="91" spans="1:8">
      <c r="A91" s="19">
        <v>46409</v>
      </c>
      <c r="B91" s="26"/>
      <c r="C91" s="26"/>
      <c r="D91" s="26"/>
      <c r="E91" s="26"/>
      <c r="F91" s="26" t="s">
        <v>1698</v>
      </c>
      <c r="G91" s="26" t="s">
        <v>1121</v>
      </c>
      <c r="H91" s="26"/>
    </row>
    <row r="92" spans="1:8">
      <c r="A92" s="19">
        <v>46410</v>
      </c>
      <c r="B92" s="26"/>
      <c r="C92" s="26"/>
      <c r="D92" s="26"/>
      <c r="E92" s="26"/>
      <c r="F92" s="26" t="s">
        <v>1699</v>
      </c>
      <c r="G92" s="26" t="s">
        <v>1135</v>
      </c>
      <c r="H92" s="26"/>
    </row>
  </sheetData>
  <mergeCells count="8">
    <mergeCell ref="A34:B34"/>
    <mergeCell ref="A44:D44"/>
    <mergeCell ref="A80:H80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1000-000000000000}">
      <formula1>"Tags Normal,Tags Reversed,Local"</formula1>
    </dataValidation>
    <dataValidation type="list" allowBlank="1" showInputMessage="1" showErrorMessage="1" sqref="B29 B31 B33 B35 B19:B21" xr:uid="{00000000-0002-0000-1000-000001000000}">
      <formula1>"Checked,Unchecked"</formula1>
    </dataValidation>
    <dataValidation type="list" allowBlank="1" showInputMessage="1" showErrorMessage="1" sqref="B25" xr:uid="{00000000-0002-0000-1000-000002000000}">
      <formula1>"N/A,Tags Normal,Tags Reversed,Direct Assignment"</formula1>
    </dataValidation>
    <dataValidation type="list" allowBlank="1" showInputMessage="1" showErrorMessage="1" sqref="B37" xr:uid="{00000000-0002-0000-1000-000003000000}">
      <formula1>"JSON,XML,CEF,LEEF,Key-Value Pairs,Delimited,Limited Structure"</formula1>
    </dataValidation>
    <dataValidation type="list" allowBlank="1" showInputMessage="1" showErrorMessage="1" sqref="B23:B24" xr:uid="{00000000-0002-0000-1000-000004000000}">
      <formula1>"N/A,Tags,Log Message Source"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H88"/>
  <sheetViews>
    <sheetView topLeftCell="A41" zoomScale="89" zoomScaleNormal="89" workbookViewId="0">
      <selection activeCell="D51" sqref="D51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727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78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728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729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02.8">
      <c r="A41" s="8" t="s">
        <v>48</v>
      </c>
      <c r="B41" s="11" t="s">
        <v>730</v>
      </c>
      <c r="C41" s="13" t="s">
        <v>731</v>
      </c>
      <c r="D41" s="13" t="s">
        <v>732</v>
      </c>
      <c r="E41" s="13" t="s">
        <v>733</v>
      </c>
      <c r="F41" s="13" t="s">
        <v>734</v>
      </c>
      <c r="G41" s="13" t="s">
        <v>735</v>
      </c>
      <c r="H41" s="13" t="s">
        <v>736</v>
      </c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4" t="s">
        <v>667</v>
      </c>
      <c r="C46" s="30">
        <v>44102</v>
      </c>
      <c r="D46" s="2"/>
      <c r="E46" s="10"/>
      <c r="F46" s="10"/>
      <c r="G46" s="10"/>
    </row>
    <row r="47" spans="1:8">
      <c r="A47" s="4" t="s">
        <v>56</v>
      </c>
      <c r="B47" s="21" t="s">
        <v>668</v>
      </c>
      <c r="C47" s="28">
        <v>0.65071759259259299</v>
      </c>
      <c r="D47" s="2"/>
      <c r="E47" s="10"/>
      <c r="F47" s="10"/>
      <c r="G47" s="10"/>
    </row>
    <row r="48" spans="1:8">
      <c r="A48" s="4" t="s">
        <v>75</v>
      </c>
      <c r="B48" s="21" t="s">
        <v>675</v>
      </c>
      <c r="C48" s="29">
        <v>1.6013326222577101E+18</v>
      </c>
      <c r="D48" s="2"/>
      <c r="E48" s="10"/>
      <c r="F48" s="10"/>
      <c r="G48" s="10"/>
    </row>
    <row r="49" spans="1:8">
      <c r="A49" s="4" t="s">
        <v>290</v>
      </c>
      <c r="B49" s="21" t="s">
        <v>737</v>
      </c>
      <c r="C49" s="29">
        <v>-700</v>
      </c>
      <c r="D49" s="18"/>
      <c r="E49" s="10"/>
      <c r="F49" s="10"/>
      <c r="G49" s="10"/>
    </row>
    <row r="50" spans="1:8">
      <c r="A50" s="4" t="s">
        <v>58</v>
      </c>
      <c r="B50" s="21" t="s">
        <v>669</v>
      </c>
      <c r="C50" s="73" t="s">
        <v>1451</v>
      </c>
      <c r="D50" s="1" t="s">
        <v>67</v>
      </c>
      <c r="E50" s="10"/>
      <c r="F50" s="10"/>
      <c r="G50" s="10"/>
    </row>
    <row r="51" spans="1:8">
      <c r="A51" s="4" t="s">
        <v>60</v>
      </c>
      <c r="B51" s="21" t="s">
        <v>670</v>
      </c>
      <c r="C51" s="29" t="s">
        <v>287</v>
      </c>
      <c r="D51" s="18" t="s">
        <v>63</v>
      </c>
      <c r="E51" s="10"/>
      <c r="F51" s="10"/>
      <c r="G51" s="10"/>
    </row>
    <row r="52" spans="1:8">
      <c r="A52" s="4" t="s">
        <v>64</v>
      </c>
      <c r="B52" s="21" t="s">
        <v>671</v>
      </c>
      <c r="C52" s="29" t="s">
        <v>727</v>
      </c>
      <c r="D52" s="1"/>
      <c r="E52" s="10"/>
      <c r="F52" s="10"/>
      <c r="G52" s="10"/>
    </row>
    <row r="53" spans="1:8">
      <c r="A53" s="4" t="s">
        <v>68</v>
      </c>
      <c r="B53" s="21" t="s">
        <v>673</v>
      </c>
      <c r="C53" s="29" t="s">
        <v>70</v>
      </c>
      <c r="D53" s="19" t="s">
        <v>71</v>
      </c>
      <c r="E53" s="10"/>
      <c r="F53" s="10"/>
      <c r="G53" s="10"/>
    </row>
    <row r="54" spans="1:8" ht="31.2">
      <c r="A54" s="4" t="s">
        <v>72</v>
      </c>
      <c r="B54" s="21" t="s">
        <v>674</v>
      </c>
      <c r="C54" s="29" t="s">
        <v>74</v>
      </c>
      <c r="D54" s="2"/>
      <c r="E54" s="10"/>
      <c r="F54" s="10"/>
      <c r="G54" s="10"/>
    </row>
    <row r="55" spans="1:8">
      <c r="A55" s="4" t="s">
        <v>292</v>
      </c>
      <c r="B55" s="21" t="s">
        <v>676</v>
      </c>
      <c r="C55" s="29" t="s">
        <v>738</v>
      </c>
      <c r="D55" s="2"/>
      <c r="E55" s="10"/>
      <c r="F55" s="10"/>
      <c r="G55" s="10"/>
    </row>
    <row r="56" spans="1:8">
      <c r="A56" s="4" t="s">
        <v>353</v>
      </c>
      <c r="B56" s="21" t="s">
        <v>739</v>
      </c>
      <c r="C56" s="29" t="s">
        <v>740</v>
      </c>
      <c r="D56" s="1" t="s">
        <v>356</v>
      </c>
      <c r="E56" s="10"/>
      <c r="F56" s="10"/>
      <c r="G56" s="10"/>
    </row>
    <row r="57" spans="1:8">
      <c r="A57" s="4" t="s">
        <v>350</v>
      </c>
      <c r="B57" s="21" t="s">
        <v>682</v>
      </c>
      <c r="C57" s="29" t="s">
        <v>741</v>
      </c>
      <c r="D57" s="1" t="s">
        <v>352</v>
      </c>
      <c r="E57" s="10"/>
      <c r="F57" s="10"/>
      <c r="G57" s="10"/>
    </row>
    <row r="58" spans="1:8">
      <c r="A58" s="4" t="s">
        <v>493</v>
      </c>
      <c r="B58" s="21" t="s">
        <v>742</v>
      </c>
      <c r="C58" s="29" t="s">
        <v>743</v>
      </c>
      <c r="D58" s="1"/>
      <c r="E58" s="10"/>
      <c r="F58" s="10"/>
      <c r="G58" s="10"/>
    </row>
    <row r="59" spans="1:8" ht="31.2">
      <c r="A59" s="4" t="s">
        <v>309</v>
      </c>
      <c r="B59" s="21" t="s">
        <v>680</v>
      </c>
      <c r="C59" s="29" t="s">
        <v>744</v>
      </c>
      <c r="D59" s="1" t="s">
        <v>312</v>
      </c>
      <c r="E59" s="10"/>
      <c r="F59" s="10"/>
      <c r="G59" s="10"/>
    </row>
    <row r="60" spans="1:8">
      <c r="A60" s="4" t="s">
        <v>357</v>
      </c>
      <c r="B60" s="21" t="s">
        <v>745</v>
      </c>
      <c r="C60" s="29" t="s">
        <v>746</v>
      </c>
      <c r="D60" s="1" t="s">
        <v>87</v>
      </c>
      <c r="E60" s="10"/>
      <c r="F60" s="10"/>
      <c r="G60" s="10"/>
    </row>
    <row r="61" spans="1:8">
      <c r="A61" s="13"/>
      <c r="B61" s="10"/>
      <c r="C61" s="10"/>
      <c r="D61" s="10"/>
      <c r="E61" s="10"/>
      <c r="F61" s="10"/>
      <c r="G61" s="10"/>
      <c r="H61" s="10"/>
    </row>
    <row r="62" spans="1:8">
      <c r="A62" s="13"/>
      <c r="B62" s="10"/>
      <c r="C62" s="10"/>
      <c r="D62" s="10"/>
      <c r="E62" s="10"/>
      <c r="F62" s="10"/>
      <c r="G62" s="10"/>
      <c r="H62" s="10"/>
    </row>
    <row r="63" spans="1:8">
      <c r="A63" s="113" t="s">
        <v>196</v>
      </c>
      <c r="B63" s="113"/>
      <c r="C63" s="113"/>
      <c r="D63" s="113"/>
      <c r="E63" s="113"/>
      <c r="F63" s="113"/>
      <c r="G63" s="113"/>
      <c r="H63" s="113"/>
    </row>
    <row r="64" spans="1:8">
      <c r="A64" s="14" t="s">
        <v>197</v>
      </c>
      <c r="B64" s="14" t="s">
        <v>198</v>
      </c>
      <c r="C64" s="14" t="s">
        <v>199</v>
      </c>
      <c r="D64" s="14" t="s">
        <v>200</v>
      </c>
      <c r="E64" s="14" t="s">
        <v>201</v>
      </c>
      <c r="F64" s="14" t="s">
        <v>202</v>
      </c>
      <c r="G64" s="14" t="s">
        <v>21</v>
      </c>
      <c r="H64" s="14" t="s">
        <v>203</v>
      </c>
    </row>
    <row r="65" spans="1:8">
      <c r="A65" s="19">
        <v>32601</v>
      </c>
      <c r="B65" s="19"/>
      <c r="C65" s="19"/>
      <c r="D65" s="19"/>
      <c r="E65" s="19"/>
      <c r="F65" s="26" t="s">
        <v>1703</v>
      </c>
      <c r="G65" s="4" t="s">
        <v>1704</v>
      </c>
      <c r="H65" s="4"/>
    </row>
    <row r="66" spans="1:8" ht="31.2">
      <c r="A66" s="53">
        <v>32602</v>
      </c>
      <c r="B66" s="26"/>
      <c r="C66" s="26"/>
      <c r="D66" s="26"/>
      <c r="E66" s="26"/>
      <c r="F66" s="26" t="s">
        <v>1705</v>
      </c>
      <c r="G66" s="3" t="s">
        <v>1255</v>
      </c>
      <c r="H66" s="26"/>
    </row>
    <row r="67" spans="1:8">
      <c r="A67" s="53">
        <v>32603</v>
      </c>
      <c r="B67" s="26"/>
      <c r="C67" s="26"/>
      <c r="D67" s="26"/>
      <c r="E67" s="26"/>
      <c r="F67" s="26" t="s">
        <v>1706</v>
      </c>
      <c r="G67" s="26" t="s">
        <v>1707</v>
      </c>
      <c r="H67" s="26"/>
    </row>
    <row r="68" spans="1:8" ht="31.2">
      <c r="A68" s="19">
        <v>32604</v>
      </c>
      <c r="B68" s="26"/>
      <c r="C68" s="26"/>
      <c r="D68" s="26"/>
      <c r="E68" s="26"/>
      <c r="F68" s="26" t="s">
        <v>1708</v>
      </c>
      <c r="G68" s="3" t="s">
        <v>1656</v>
      </c>
      <c r="H68" s="26"/>
    </row>
    <row r="69" spans="1:8" ht="31.2">
      <c r="A69" s="53">
        <v>32605</v>
      </c>
      <c r="B69" s="26"/>
      <c r="C69" s="26"/>
      <c r="D69" s="26"/>
      <c r="E69" s="26"/>
      <c r="F69" s="26" t="s">
        <v>1709</v>
      </c>
      <c r="G69" s="3" t="s">
        <v>1673</v>
      </c>
      <c r="H69" s="26"/>
    </row>
    <row r="70" spans="1:8">
      <c r="A70" s="53">
        <v>32606</v>
      </c>
      <c r="B70" s="26"/>
      <c r="C70" s="26"/>
      <c r="D70" s="26"/>
      <c r="E70" s="26"/>
      <c r="F70" s="26" t="s">
        <v>1710</v>
      </c>
      <c r="G70" s="3" t="s">
        <v>1711</v>
      </c>
      <c r="H70" s="26"/>
    </row>
    <row r="71" spans="1:8">
      <c r="A71" s="19">
        <v>32607</v>
      </c>
      <c r="B71" s="26"/>
      <c r="C71" s="26"/>
      <c r="D71" s="26"/>
      <c r="E71" s="26"/>
      <c r="F71" s="26" t="s">
        <v>1712</v>
      </c>
      <c r="G71" s="4" t="s">
        <v>1704</v>
      </c>
      <c r="H71" s="26"/>
    </row>
    <row r="72" spans="1:8">
      <c r="A72" s="53">
        <v>32608</v>
      </c>
      <c r="B72" s="26"/>
      <c r="C72" s="26"/>
      <c r="D72" s="26"/>
      <c r="E72" s="26"/>
      <c r="F72" s="26" t="s">
        <v>1713</v>
      </c>
      <c r="G72" s="4" t="s">
        <v>1704</v>
      </c>
      <c r="H72" s="26"/>
    </row>
    <row r="73" spans="1:8">
      <c r="A73" s="53">
        <v>32609</v>
      </c>
      <c r="B73" s="26"/>
      <c r="C73" s="26"/>
      <c r="D73" s="26"/>
      <c r="E73" s="26"/>
      <c r="F73" s="26" t="s">
        <v>1714</v>
      </c>
      <c r="G73" s="4" t="s">
        <v>1715</v>
      </c>
      <c r="H73" s="26"/>
    </row>
    <row r="74" spans="1:8">
      <c r="A74" s="19">
        <v>32610</v>
      </c>
      <c r="B74" s="26"/>
      <c r="C74" s="26"/>
      <c r="D74" s="26"/>
      <c r="E74" s="26"/>
      <c r="F74" s="26" t="s">
        <v>1716</v>
      </c>
      <c r="G74" s="26" t="s">
        <v>1134</v>
      </c>
      <c r="H74" s="26"/>
    </row>
    <row r="75" spans="1:8">
      <c r="A75" s="53">
        <v>32611</v>
      </c>
      <c r="B75" s="26"/>
      <c r="C75" s="26"/>
      <c r="D75" s="26"/>
      <c r="E75" s="26"/>
      <c r="F75" s="26" t="s">
        <v>1717</v>
      </c>
      <c r="G75" s="4" t="s">
        <v>1704</v>
      </c>
      <c r="H75" s="26"/>
    </row>
    <row r="76" spans="1:8">
      <c r="A76" s="53">
        <v>32612</v>
      </c>
      <c r="B76" s="26"/>
      <c r="C76" s="26"/>
      <c r="D76" s="26"/>
      <c r="E76" s="26"/>
      <c r="F76" s="26" t="s">
        <v>1718</v>
      </c>
      <c r="G76" s="4" t="s">
        <v>1704</v>
      </c>
      <c r="H76" s="26"/>
    </row>
    <row r="77" spans="1:8">
      <c r="A77" s="19">
        <v>32613</v>
      </c>
      <c r="B77" s="26"/>
      <c r="C77" s="26"/>
      <c r="D77" s="26"/>
      <c r="E77" s="26"/>
      <c r="F77" s="26" t="s">
        <v>1719</v>
      </c>
      <c r="G77" s="4" t="s">
        <v>1704</v>
      </c>
      <c r="H77" s="26"/>
    </row>
    <row r="78" spans="1:8">
      <c r="A78" s="53">
        <v>32614</v>
      </c>
      <c r="B78" s="26"/>
      <c r="C78" s="26"/>
      <c r="D78" s="26"/>
      <c r="E78" s="26"/>
      <c r="F78" s="26" t="s">
        <v>1720</v>
      </c>
      <c r="G78" s="4" t="s">
        <v>1704</v>
      </c>
      <c r="H78" s="26"/>
    </row>
    <row r="79" spans="1:8">
      <c r="A79" s="53">
        <v>32615</v>
      </c>
      <c r="B79" s="26"/>
      <c r="C79" s="26"/>
      <c r="D79" s="26"/>
      <c r="E79" s="26"/>
      <c r="F79" s="26" t="s">
        <v>1721</v>
      </c>
      <c r="G79" s="26" t="s">
        <v>1664</v>
      </c>
      <c r="H79" s="26"/>
    </row>
    <row r="80" spans="1:8" ht="31.2">
      <c r="A80" s="19">
        <v>32616</v>
      </c>
      <c r="B80" s="26"/>
      <c r="C80" s="26"/>
      <c r="D80" s="26"/>
      <c r="E80" s="26"/>
      <c r="F80" s="26" t="s">
        <v>1722</v>
      </c>
      <c r="G80" s="3" t="s">
        <v>1656</v>
      </c>
      <c r="H80" s="26"/>
    </row>
    <row r="81" spans="1:8" ht="31.2">
      <c r="A81" s="53">
        <v>32617</v>
      </c>
      <c r="B81" s="26"/>
      <c r="C81" s="26"/>
      <c r="D81" s="26"/>
      <c r="E81" s="26"/>
      <c r="F81" s="26" t="s">
        <v>1723</v>
      </c>
      <c r="G81" s="4" t="s">
        <v>1724</v>
      </c>
      <c r="H81" s="26"/>
    </row>
    <row r="82" spans="1:8">
      <c r="A82" s="19">
        <v>32693</v>
      </c>
      <c r="B82" s="26"/>
      <c r="C82" s="26"/>
      <c r="D82" s="26"/>
      <c r="E82" s="26"/>
      <c r="F82" s="26" t="s">
        <v>1725</v>
      </c>
      <c r="G82" s="4" t="s">
        <v>1704</v>
      </c>
      <c r="H82" s="26"/>
    </row>
    <row r="83" spans="1:8">
      <c r="A83" s="19">
        <v>32694</v>
      </c>
      <c r="B83" s="26"/>
      <c r="C83" s="26"/>
      <c r="D83" s="26"/>
      <c r="E83" s="26"/>
      <c r="F83" s="26" t="s">
        <v>1726</v>
      </c>
      <c r="G83" s="26" t="s">
        <v>1132</v>
      </c>
      <c r="H83" s="26"/>
    </row>
    <row r="84" spans="1:8">
      <c r="A84" s="19">
        <v>32695</v>
      </c>
      <c r="B84" s="26"/>
      <c r="C84" s="26"/>
      <c r="D84" s="26"/>
      <c r="E84" s="26"/>
      <c r="F84" s="26" t="s">
        <v>1727</v>
      </c>
      <c r="G84" s="26" t="s">
        <v>1132</v>
      </c>
      <c r="H84" s="26"/>
    </row>
    <row r="85" spans="1:8">
      <c r="A85" s="19">
        <v>32696</v>
      </c>
      <c r="B85" s="26"/>
      <c r="C85" s="26"/>
      <c r="D85" s="26"/>
      <c r="E85" s="26"/>
      <c r="F85" s="26" t="s">
        <v>1728</v>
      </c>
      <c r="G85" s="26" t="s">
        <v>1729</v>
      </c>
      <c r="H85" s="26"/>
    </row>
    <row r="86" spans="1:8">
      <c r="A86" s="19">
        <v>32697</v>
      </c>
      <c r="B86" s="26"/>
      <c r="C86" s="26"/>
      <c r="D86" s="26"/>
      <c r="E86" s="26"/>
      <c r="F86" s="26" t="s">
        <v>1730</v>
      </c>
      <c r="G86" s="26" t="s">
        <v>1132</v>
      </c>
      <c r="H86" s="26"/>
    </row>
    <row r="87" spans="1:8">
      <c r="A87" s="19">
        <v>32698</v>
      </c>
      <c r="B87" s="26"/>
      <c r="C87" s="26"/>
      <c r="D87" s="26"/>
      <c r="E87" s="26"/>
      <c r="F87" s="26" t="s">
        <v>1731</v>
      </c>
      <c r="G87" s="26" t="s">
        <v>1132</v>
      </c>
      <c r="H87" s="26"/>
    </row>
    <row r="88" spans="1:8">
      <c r="A88" s="19">
        <v>32699</v>
      </c>
      <c r="B88" s="26"/>
      <c r="C88" s="26"/>
      <c r="D88" s="26"/>
      <c r="E88" s="26"/>
      <c r="F88" s="26" t="s">
        <v>1732</v>
      </c>
      <c r="G88" s="26" t="s">
        <v>1132</v>
      </c>
      <c r="H88" s="26"/>
    </row>
  </sheetData>
  <mergeCells count="8">
    <mergeCell ref="A34:B34"/>
    <mergeCell ref="A44:D44"/>
    <mergeCell ref="A63:H63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1100-000000000000}">
      <formula1>"Tags Normal,Tags Reversed,Local"</formula1>
    </dataValidation>
    <dataValidation type="list" allowBlank="1" showInputMessage="1" showErrorMessage="1" sqref="B29 B31 B33 B35 B19:B21" xr:uid="{00000000-0002-0000-1100-000001000000}">
      <formula1>"Checked,Unchecked"</formula1>
    </dataValidation>
    <dataValidation type="list" allowBlank="1" showInputMessage="1" showErrorMessage="1" sqref="B25" xr:uid="{00000000-0002-0000-1100-000002000000}">
      <formula1>"N/A,Tags Normal,Tags Reversed,Direct Assignment"</formula1>
    </dataValidation>
    <dataValidation type="list" allowBlank="1" showInputMessage="1" showErrorMessage="1" sqref="B37" xr:uid="{00000000-0002-0000-1100-000003000000}">
      <formula1>"JSON,XML,CEF,LEEF,Key-Value Pairs,Delimited,Limited Structure"</formula1>
    </dataValidation>
    <dataValidation type="list" allowBlank="1" showInputMessage="1" showErrorMessage="1" sqref="B23:B24" xr:uid="{00000000-0002-0000-1100-000004000000}">
      <formula1>"N/A,Tags,Log Message Source"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H67"/>
  <sheetViews>
    <sheetView topLeftCell="A36" workbookViewId="0">
      <selection activeCell="D51" sqref="D51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42.2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280</v>
      </c>
    </row>
    <row r="4" spans="1:8">
      <c r="A4" s="6" t="s">
        <v>10</v>
      </c>
      <c r="B4" s="7" t="s">
        <v>747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748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749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02.8">
      <c r="A41" s="8" t="s">
        <v>48</v>
      </c>
      <c r="B41" s="11" t="s">
        <v>750</v>
      </c>
      <c r="C41" s="13" t="s">
        <v>751</v>
      </c>
      <c r="D41" s="13" t="s">
        <v>752</v>
      </c>
      <c r="E41" s="13" t="s">
        <v>753</v>
      </c>
      <c r="F41" s="13" t="s">
        <v>754</v>
      </c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21" t="s">
        <v>343</v>
      </c>
      <c r="C46" s="16">
        <v>44594</v>
      </c>
      <c r="D46" s="2"/>
      <c r="E46" s="10"/>
      <c r="F46" s="10"/>
      <c r="G46" s="10"/>
    </row>
    <row r="47" spans="1:8">
      <c r="A47" s="4" t="s">
        <v>56</v>
      </c>
      <c r="B47" s="21" t="s">
        <v>344</v>
      </c>
      <c r="C47" s="17">
        <v>0.661215277777778</v>
      </c>
      <c r="D47" s="2"/>
      <c r="E47" s="10"/>
      <c r="F47" s="10"/>
      <c r="G47" s="10"/>
    </row>
    <row r="48" spans="1:8">
      <c r="A48" s="4" t="s">
        <v>75</v>
      </c>
      <c r="B48" s="21" t="s">
        <v>216</v>
      </c>
      <c r="C48" s="5">
        <v>1.6438459302634099E+18</v>
      </c>
      <c r="D48" s="2"/>
      <c r="E48" s="10"/>
      <c r="F48" s="10"/>
      <c r="G48" s="10"/>
    </row>
    <row r="49" spans="1:8">
      <c r="A49" s="4" t="s">
        <v>290</v>
      </c>
      <c r="B49" s="21" t="s">
        <v>291</v>
      </c>
      <c r="C49" s="5" t="s">
        <v>755</v>
      </c>
      <c r="D49" s="18"/>
      <c r="E49" s="10"/>
      <c r="F49" s="10"/>
      <c r="G49" s="10"/>
    </row>
    <row r="50" spans="1:8">
      <c r="A50" s="4" t="s">
        <v>58</v>
      </c>
      <c r="B50" s="21" t="s">
        <v>210</v>
      </c>
      <c r="C50" s="25" t="s">
        <v>1452</v>
      </c>
      <c r="D50" s="1" t="s">
        <v>67</v>
      </c>
      <c r="E50" s="10"/>
      <c r="F50" s="10"/>
      <c r="G50" s="10"/>
    </row>
    <row r="51" spans="1:8" ht="31.2">
      <c r="A51" s="4" t="s">
        <v>60</v>
      </c>
      <c r="B51" s="21" t="s">
        <v>286</v>
      </c>
      <c r="C51" s="5" t="s">
        <v>287</v>
      </c>
      <c r="D51" s="18" t="s">
        <v>63</v>
      </c>
      <c r="E51" s="10"/>
      <c r="F51" s="10"/>
      <c r="G51" s="10"/>
    </row>
    <row r="52" spans="1:8" ht="31.2">
      <c r="A52" s="4" t="s">
        <v>64</v>
      </c>
      <c r="B52" s="21" t="s">
        <v>756</v>
      </c>
      <c r="C52" s="5" t="s">
        <v>757</v>
      </c>
      <c r="D52" s="1"/>
      <c r="E52" s="10"/>
      <c r="F52" s="10"/>
      <c r="G52" s="10"/>
    </row>
    <row r="53" spans="1:8" ht="31.2">
      <c r="A53" s="4" t="s">
        <v>68</v>
      </c>
      <c r="B53" s="21" t="s">
        <v>347</v>
      </c>
      <c r="C53" s="5" t="s">
        <v>348</v>
      </c>
      <c r="D53" s="19" t="s">
        <v>71</v>
      </c>
      <c r="E53" s="10"/>
      <c r="F53" s="10"/>
      <c r="G53" s="10"/>
    </row>
    <row r="54" spans="1:8">
      <c r="A54" s="4" t="s">
        <v>72</v>
      </c>
      <c r="B54" s="21" t="s">
        <v>215</v>
      </c>
      <c r="C54" s="5" t="s">
        <v>258</v>
      </c>
      <c r="D54" s="2"/>
      <c r="E54" s="10"/>
      <c r="F54" s="10"/>
      <c r="G54" s="10"/>
    </row>
    <row r="55" spans="1:8">
      <c r="A55" s="4" t="s">
        <v>292</v>
      </c>
      <c r="B55" s="21" t="s">
        <v>293</v>
      </c>
      <c r="C55" s="5" t="s">
        <v>758</v>
      </c>
      <c r="D55" s="2"/>
      <c r="E55" s="10"/>
      <c r="F55" s="10"/>
      <c r="G55" s="10"/>
    </row>
    <row r="56" spans="1:8">
      <c r="A56" s="4" t="s">
        <v>353</v>
      </c>
      <c r="B56" s="21" t="s">
        <v>759</v>
      </c>
      <c r="C56" s="5" t="s">
        <v>355</v>
      </c>
      <c r="D56" s="1" t="s">
        <v>356</v>
      </c>
      <c r="E56" s="10"/>
      <c r="F56" s="10"/>
      <c r="G56" s="10"/>
    </row>
    <row r="57" spans="1:8" ht="31.2">
      <c r="A57" s="4" t="s">
        <v>357</v>
      </c>
      <c r="B57" s="21" t="s">
        <v>760</v>
      </c>
      <c r="C57" s="5" t="s">
        <v>1103</v>
      </c>
      <c r="D57" s="1" t="s">
        <v>87</v>
      </c>
      <c r="E57" s="10"/>
      <c r="F57" s="10"/>
      <c r="G57" s="10"/>
    </row>
    <row r="58" spans="1:8" ht="31.2">
      <c r="A58" s="4" t="s">
        <v>360</v>
      </c>
      <c r="B58" s="21" t="s">
        <v>761</v>
      </c>
      <c r="C58" s="5" t="s">
        <v>762</v>
      </c>
      <c r="D58" s="1" t="s">
        <v>763</v>
      </c>
      <c r="E58" s="10"/>
      <c r="F58" s="10"/>
      <c r="G58" s="10"/>
    </row>
    <row r="59" spans="1:8" ht="31.2">
      <c r="A59" s="4" t="s">
        <v>764</v>
      </c>
      <c r="B59" s="21" t="s">
        <v>765</v>
      </c>
      <c r="C59" s="5" t="s">
        <v>766</v>
      </c>
      <c r="D59" s="1"/>
      <c r="E59" s="10"/>
      <c r="F59" s="10"/>
      <c r="G59" s="10"/>
    </row>
    <row r="60" spans="1:8">
      <c r="A60" s="4" t="s">
        <v>316</v>
      </c>
      <c r="B60" s="21" t="s">
        <v>767</v>
      </c>
      <c r="C60" s="5">
        <v>200</v>
      </c>
      <c r="D60" s="1" t="s">
        <v>319</v>
      </c>
      <c r="E60" s="10"/>
      <c r="F60" s="10"/>
      <c r="G60" s="10"/>
    </row>
    <row r="61" spans="1:8">
      <c r="A61" s="4" t="s">
        <v>768</v>
      </c>
      <c r="B61" s="21" t="s">
        <v>769</v>
      </c>
      <c r="C61" s="5" t="s">
        <v>770</v>
      </c>
      <c r="D61" s="1" t="s">
        <v>771</v>
      </c>
      <c r="E61" s="10"/>
      <c r="F61" s="10"/>
      <c r="G61" s="10"/>
    </row>
    <row r="62" spans="1:8">
      <c r="A62" s="13"/>
      <c r="B62" s="10"/>
      <c r="C62" s="10"/>
      <c r="D62" s="10"/>
      <c r="E62" s="10"/>
      <c r="F62" s="10"/>
      <c r="G62" s="10"/>
      <c r="H62" s="10"/>
    </row>
    <row r="63" spans="1:8">
      <c r="A63" s="13"/>
      <c r="B63" s="10"/>
      <c r="C63" s="10"/>
      <c r="D63" s="10"/>
      <c r="E63" s="10"/>
      <c r="F63" s="10"/>
      <c r="G63" s="10"/>
      <c r="H63" s="10"/>
    </row>
    <row r="64" spans="1:8">
      <c r="A64" s="113" t="s">
        <v>196</v>
      </c>
      <c r="B64" s="113"/>
      <c r="C64" s="113"/>
      <c r="D64" s="113"/>
      <c r="E64" s="113"/>
      <c r="F64" s="113"/>
      <c r="G64" s="113"/>
      <c r="H64" s="113"/>
    </row>
    <row r="65" spans="1:8">
      <c r="A65" s="14" t="s">
        <v>197</v>
      </c>
      <c r="B65" s="14" t="s">
        <v>198</v>
      </c>
      <c r="C65" s="14" t="s">
        <v>199</v>
      </c>
      <c r="D65" s="14" t="s">
        <v>200</v>
      </c>
      <c r="E65" s="14" t="s">
        <v>201</v>
      </c>
      <c r="F65" s="14" t="s">
        <v>202</v>
      </c>
      <c r="G65" s="14" t="s">
        <v>21</v>
      </c>
      <c r="H65" s="14" t="s">
        <v>203</v>
      </c>
    </row>
    <row r="66" spans="1:8">
      <c r="A66" s="53">
        <v>47301</v>
      </c>
      <c r="B66" s="19"/>
      <c r="C66" s="19"/>
      <c r="D66" s="19"/>
      <c r="E66" s="19"/>
      <c r="F66" s="26" t="s">
        <v>1700</v>
      </c>
      <c r="G66" s="4" t="s">
        <v>1701</v>
      </c>
      <c r="H66" s="4"/>
    </row>
    <row r="67" spans="1:8">
      <c r="A67" s="53">
        <v>47302</v>
      </c>
      <c r="B67" s="26"/>
      <c r="C67" s="26"/>
      <c r="D67" s="26"/>
      <c r="E67" s="26"/>
      <c r="F67" s="26" t="s">
        <v>1700</v>
      </c>
      <c r="G67" s="26" t="s">
        <v>1702</v>
      </c>
      <c r="H67" s="26"/>
    </row>
  </sheetData>
  <mergeCells count="8">
    <mergeCell ref="A34:B34"/>
    <mergeCell ref="A44:D44"/>
    <mergeCell ref="A64:H64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1200-000000000000}">
      <formula1>"Tags Normal,Tags Reversed,Local"</formula1>
    </dataValidation>
    <dataValidation type="list" allowBlank="1" showInputMessage="1" showErrorMessage="1" sqref="B29 B31 B33 B35 B19:B21" xr:uid="{00000000-0002-0000-1200-000001000000}">
      <formula1>"Checked,Unchecked"</formula1>
    </dataValidation>
    <dataValidation type="list" allowBlank="1" showInputMessage="1" showErrorMessage="1" sqref="B25" xr:uid="{00000000-0002-0000-1200-000002000000}">
      <formula1>"N/A,Tags Normal,Tags Reversed,Direct Assignment"</formula1>
    </dataValidation>
    <dataValidation type="list" allowBlank="1" showInputMessage="1" showErrorMessage="1" sqref="B37" xr:uid="{00000000-0002-0000-1200-000003000000}">
      <formula1>"JSON,XML,CEF,LEEF,Key-Value Pairs,Delimited,Limited Structure"</formula1>
    </dataValidation>
    <dataValidation type="list" allowBlank="1" showInputMessage="1" showErrorMessage="1" sqref="B23:B24" xr:uid="{00000000-0002-0000-1200-000004000000}">
      <formula1>"N/A,Tags,Log Message Source"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H141"/>
  <sheetViews>
    <sheetView topLeftCell="A42" zoomScale="90" zoomScaleNormal="90" workbookViewId="0">
      <selection activeCell="D51" sqref="D51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773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774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775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776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327.60000000000002">
      <c r="A41" s="8" t="s">
        <v>48</v>
      </c>
      <c r="B41" s="11" t="s">
        <v>777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69" t="s">
        <v>54</v>
      </c>
      <c r="B46" s="70" t="s">
        <v>667</v>
      </c>
      <c r="C46" s="22">
        <v>43598</v>
      </c>
      <c r="D46" s="71"/>
      <c r="E46" s="10"/>
      <c r="F46" s="10"/>
      <c r="G46" s="10"/>
    </row>
    <row r="47" spans="1:8">
      <c r="A47" s="69" t="s">
        <v>56</v>
      </c>
      <c r="B47" s="70" t="s">
        <v>668</v>
      </c>
      <c r="C47" s="23">
        <v>0.48961805555555599</v>
      </c>
      <c r="D47" s="71"/>
      <c r="E47" s="10"/>
      <c r="F47" s="10"/>
      <c r="G47" s="10"/>
    </row>
    <row r="48" spans="1:8">
      <c r="A48" s="69" t="s">
        <v>58</v>
      </c>
      <c r="B48" s="70" t="s">
        <v>669</v>
      </c>
      <c r="C48" s="74" t="s">
        <v>1453</v>
      </c>
      <c r="D48" s="72" t="s">
        <v>67</v>
      </c>
      <c r="E48" s="10"/>
      <c r="F48" s="10"/>
      <c r="G48" s="10"/>
    </row>
    <row r="49" spans="1:7">
      <c r="A49" s="69" t="s">
        <v>60</v>
      </c>
      <c r="B49" s="70" t="s">
        <v>670</v>
      </c>
      <c r="C49" s="24" t="s">
        <v>778</v>
      </c>
      <c r="D49" s="18" t="s">
        <v>63</v>
      </c>
      <c r="E49" s="10"/>
      <c r="F49" s="10"/>
      <c r="G49" s="10"/>
    </row>
    <row r="50" spans="1:7">
      <c r="A50" s="69" t="s">
        <v>64</v>
      </c>
      <c r="B50" s="70" t="s">
        <v>671</v>
      </c>
      <c r="C50" s="24" t="s">
        <v>779</v>
      </c>
      <c r="D50" s="18"/>
      <c r="E50" s="10"/>
      <c r="F50" s="10"/>
      <c r="G50" s="10"/>
    </row>
    <row r="51" spans="1:7">
      <c r="A51" s="69" t="s">
        <v>295</v>
      </c>
      <c r="B51" s="70" t="s">
        <v>780</v>
      </c>
      <c r="C51" s="24" t="s">
        <v>781</v>
      </c>
      <c r="D51" s="18"/>
      <c r="E51" s="10"/>
      <c r="F51" s="10"/>
      <c r="G51" s="10"/>
    </row>
    <row r="52" spans="1:7">
      <c r="A52" s="69" t="s">
        <v>68</v>
      </c>
      <c r="B52" s="70" t="s">
        <v>673</v>
      </c>
      <c r="C52" s="24" t="s">
        <v>385</v>
      </c>
      <c r="D52" s="18" t="s">
        <v>71</v>
      </c>
      <c r="E52" s="10"/>
      <c r="F52" s="10"/>
      <c r="G52" s="10"/>
    </row>
    <row r="53" spans="1:7" ht="31.2">
      <c r="A53" s="69" t="s">
        <v>72</v>
      </c>
      <c r="B53" s="70" t="s">
        <v>674</v>
      </c>
      <c r="C53" s="24" t="s">
        <v>74</v>
      </c>
      <c r="D53" s="71"/>
      <c r="E53" s="10"/>
      <c r="F53" s="10"/>
      <c r="G53" s="10"/>
    </row>
    <row r="54" spans="1:7">
      <c r="A54" s="69" t="s">
        <v>75</v>
      </c>
      <c r="B54" s="70" t="s">
        <v>675</v>
      </c>
      <c r="C54" s="24">
        <v>1.55777310376739E+18</v>
      </c>
      <c r="D54" s="71"/>
      <c r="E54" s="10"/>
      <c r="F54" s="10"/>
      <c r="G54" s="10"/>
    </row>
    <row r="55" spans="1:7">
      <c r="A55" s="69" t="s">
        <v>309</v>
      </c>
      <c r="B55" s="70" t="s">
        <v>680</v>
      </c>
      <c r="C55" s="24" t="s">
        <v>782</v>
      </c>
      <c r="D55" s="72" t="s">
        <v>312</v>
      </c>
      <c r="E55" s="10"/>
      <c r="F55" s="10"/>
      <c r="G55" s="10"/>
    </row>
    <row r="56" spans="1:7" ht="31.2">
      <c r="A56" s="69" t="s">
        <v>119</v>
      </c>
      <c r="B56" s="70" t="s">
        <v>783</v>
      </c>
      <c r="C56" s="24" t="s">
        <v>784</v>
      </c>
      <c r="D56" s="72" t="s">
        <v>122</v>
      </c>
      <c r="E56" s="10"/>
      <c r="F56" s="10"/>
      <c r="G56" s="10"/>
    </row>
    <row r="57" spans="1:7" ht="31.2">
      <c r="A57" s="69" t="s">
        <v>129</v>
      </c>
      <c r="B57" s="70" t="s">
        <v>785</v>
      </c>
      <c r="C57" s="24" t="s">
        <v>131</v>
      </c>
      <c r="D57" s="72" t="s">
        <v>132</v>
      </c>
      <c r="E57" s="10"/>
      <c r="F57" s="10"/>
      <c r="G57" s="10"/>
    </row>
    <row r="58" spans="1:7" ht="31.2">
      <c r="A58" s="69" t="s">
        <v>113</v>
      </c>
      <c r="B58" s="70" t="s">
        <v>786</v>
      </c>
      <c r="C58" s="24">
        <v>359260</v>
      </c>
      <c r="D58" s="72" t="s">
        <v>115</v>
      </c>
      <c r="E58" s="10"/>
      <c r="F58" s="10"/>
      <c r="G58" s="10"/>
    </row>
    <row r="59" spans="1:7">
      <c r="A59" s="69" t="s">
        <v>77</v>
      </c>
      <c r="B59" s="70" t="s">
        <v>787</v>
      </c>
      <c r="C59" s="24" t="s">
        <v>218</v>
      </c>
      <c r="D59" s="72" t="s">
        <v>80</v>
      </c>
      <c r="E59" s="10"/>
      <c r="F59" s="10"/>
      <c r="G59" s="10"/>
    </row>
    <row r="60" spans="1:7" ht="31.2">
      <c r="A60" s="69" t="s">
        <v>91</v>
      </c>
      <c r="B60" s="70" t="s">
        <v>788</v>
      </c>
      <c r="C60" s="24" t="s">
        <v>221</v>
      </c>
      <c r="D60" s="72" t="s">
        <v>94</v>
      </c>
      <c r="E60" s="10"/>
      <c r="F60" s="10"/>
      <c r="G60" s="10"/>
    </row>
    <row r="61" spans="1:7">
      <c r="A61" s="69" t="s">
        <v>81</v>
      </c>
      <c r="B61" s="70" t="s">
        <v>789</v>
      </c>
      <c r="C61" s="24">
        <v>60446</v>
      </c>
      <c r="D61" s="72" t="s">
        <v>83</v>
      </c>
      <c r="E61" s="10"/>
      <c r="F61" s="10"/>
      <c r="G61" s="10"/>
    </row>
    <row r="62" spans="1:7">
      <c r="A62" s="69" t="s">
        <v>95</v>
      </c>
      <c r="B62" s="70" t="s">
        <v>790</v>
      </c>
      <c r="C62" s="24">
        <v>80</v>
      </c>
      <c r="D62" s="72" t="s">
        <v>97</v>
      </c>
      <c r="E62" s="10"/>
      <c r="F62" s="10"/>
      <c r="G62" s="10"/>
    </row>
    <row r="63" spans="1:7">
      <c r="A63" s="69" t="s">
        <v>84</v>
      </c>
      <c r="B63" s="70" t="s">
        <v>85</v>
      </c>
      <c r="C63" s="24" t="s">
        <v>86</v>
      </c>
      <c r="D63" s="72" t="s">
        <v>87</v>
      </c>
      <c r="E63" s="10"/>
      <c r="F63" s="10"/>
      <c r="G63" s="10"/>
    </row>
    <row r="64" spans="1:7">
      <c r="A64" s="69" t="s">
        <v>88</v>
      </c>
      <c r="B64" s="70" t="s">
        <v>89</v>
      </c>
      <c r="C64" s="24" t="s">
        <v>90</v>
      </c>
      <c r="D64" s="72"/>
      <c r="E64" s="10"/>
      <c r="F64" s="10"/>
      <c r="G64" s="10"/>
    </row>
    <row r="65" spans="1:7">
      <c r="A65" s="69" t="s">
        <v>98</v>
      </c>
      <c r="B65" s="70" t="s">
        <v>99</v>
      </c>
      <c r="C65" s="24" t="s">
        <v>100</v>
      </c>
      <c r="D65" s="72" t="s">
        <v>101</v>
      </c>
      <c r="E65" s="10"/>
      <c r="F65" s="10"/>
      <c r="G65" s="10"/>
    </row>
    <row r="66" spans="1:7">
      <c r="A66" s="69" t="s">
        <v>102</v>
      </c>
      <c r="B66" s="70" t="s">
        <v>103</v>
      </c>
      <c r="C66" s="24" t="s">
        <v>90</v>
      </c>
      <c r="D66" s="72"/>
      <c r="E66" s="10"/>
      <c r="F66" s="10"/>
      <c r="G66" s="10"/>
    </row>
    <row r="67" spans="1:7" ht="31.2">
      <c r="A67" s="69" t="s">
        <v>123</v>
      </c>
      <c r="B67" s="70" t="s">
        <v>791</v>
      </c>
      <c r="C67" s="24">
        <v>4</v>
      </c>
      <c r="D67" s="72" t="s">
        <v>128</v>
      </c>
      <c r="E67" s="10"/>
      <c r="F67" s="10"/>
      <c r="G67" s="10"/>
    </row>
    <row r="68" spans="1:7">
      <c r="A68" s="69" t="s">
        <v>116</v>
      </c>
      <c r="B68" s="70" t="s">
        <v>792</v>
      </c>
      <c r="C68" s="24">
        <v>6</v>
      </c>
      <c r="D68" s="72" t="s">
        <v>118</v>
      </c>
      <c r="E68" s="10"/>
      <c r="F68" s="10"/>
      <c r="G68" s="10"/>
    </row>
    <row r="69" spans="1:7" ht="31.2">
      <c r="A69" s="69" t="s">
        <v>793</v>
      </c>
      <c r="B69" s="70" t="s">
        <v>794</v>
      </c>
      <c r="C69" s="24" t="s">
        <v>795</v>
      </c>
      <c r="D69" s="72"/>
      <c r="E69" s="10"/>
      <c r="F69" s="10"/>
      <c r="G69" s="10"/>
    </row>
    <row r="70" spans="1:7">
      <c r="A70" s="69" t="s">
        <v>796</v>
      </c>
      <c r="B70" s="70" t="s">
        <v>797</v>
      </c>
      <c r="C70" s="24" t="s">
        <v>798</v>
      </c>
      <c r="D70" s="72" t="s">
        <v>302</v>
      </c>
      <c r="E70" s="10"/>
      <c r="F70" s="10"/>
      <c r="G70" s="10"/>
    </row>
    <row r="71" spans="1:7" ht="31.2">
      <c r="A71" s="69" t="s">
        <v>799</v>
      </c>
      <c r="B71" s="70" t="s">
        <v>800</v>
      </c>
      <c r="C71" s="24" t="s">
        <v>801</v>
      </c>
      <c r="D71" s="72" t="s">
        <v>319</v>
      </c>
      <c r="E71" s="10"/>
      <c r="F71" s="10"/>
      <c r="G71" s="10"/>
    </row>
    <row r="72" spans="1:7">
      <c r="A72" s="69" t="s">
        <v>779</v>
      </c>
      <c r="B72" s="70" t="s">
        <v>802</v>
      </c>
      <c r="C72" s="24" t="s">
        <v>803</v>
      </c>
      <c r="D72" s="72" t="s">
        <v>804</v>
      </c>
      <c r="E72" s="10"/>
      <c r="F72" s="10"/>
      <c r="G72" s="10"/>
    </row>
    <row r="73" spans="1:7">
      <c r="A73" s="69" t="s">
        <v>805</v>
      </c>
      <c r="B73" s="70" t="s">
        <v>806</v>
      </c>
      <c r="C73" s="24" t="s">
        <v>807</v>
      </c>
      <c r="D73" s="72"/>
      <c r="E73" s="10"/>
      <c r="F73" s="10"/>
      <c r="G73" s="10"/>
    </row>
    <row r="74" spans="1:7" ht="31.2">
      <c r="A74" s="69" t="s">
        <v>808</v>
      </c>
      <c r="B74" s="70" t="s">
        <v>809</v>
      </c>
      <c r="C74" s="24" t="s">
        <v>810</v>
      </c>
      <c r="D74" s="72"/>
      <c r="E74" s="10"/>
      <c r="F74" s="10"/>
      <c r="G74" s="10"/>
    </row>
    <row r="75" spans="1:7">
      <c r="A75" s="69" t="s">
        <v>811</v>
      </c>
      <c r="B75" s="70" t="s">
        <v>812</v>
      </c>
      <c r="C75" s="24">
        <v>2172</v>
      </c>
      <c r="D75" s="72" t="s">
        <v>813</v>
      </c>
      <c r="E75" s="10"/>
      <c r="F75" s="10"/>
      <c r="G75" s="10"/>
    </row>
    <row r="76" spans="1:7">
      <c r="A76" s="69" t="s">
        <v>768</v>
      </c>
      <c r="B76" s="70" t="s">
        <v>814</v>
      </c>
      <c r="C76" s="24" t="s">
        <v>815</v>
      </c>
      <c r="D76" s="72" t="s">
        <v>771</v>
      </c>
      <c r="E76" s="10"/>
      <c r="F76" s="10"/>
      <c r="G76" s="10"/>
    </row>
    <row r="77" spans="1:7">
      <c r="A77" s="69" t="s">
        <v>373</v>
      </c>
      <c r="B77" s="70" t="s">
        <v>816</v>
      </c>
      <c r="C77" s="24" t="s">
        <v>161</v>
      </c>
      <c r="D77" s="72"/>
      <c r="E77" s="10"/>
      <c r="F77" s="10"/>
      <c r="G77" s="10"/>
    </row>
    <row r="78" spans="1:7" ht="31.2">
      <c r="A78" s="69" t="s">
        <v>817</v>
      </c>
      <c r="B78" s="70" t="s">
        <v>818</v>
      </c>
      <c r="C78" s="24" t="s">
        <v>819</v>
      </c>
      <c r="D78" s="72" t="s">
        <v>820</v>
      </c>
      <c r="E78" s="10"/>
      <c r="F78" s="10"/>
      <c r="G78" s="10"/>
    </row>
    <row r="79" spans="1:7" ht="31.2">
      <c r="A79" s="69" t="s">
        <v>821</v>
      </c>
      <c r="B79" s="70" t="s">
        <v>822</v>
      </c>
      <c r="C79" s="24" t="s">
        <v>823</v>
      </c>
      <c r="D79" s="72"/>
      <c r="E79" s="10"/>
      <c r="F79" s="10"/>
      <c r="G79" s="10"/>
    </row>
    <row r="80" spans="1:7" ht="31.2">
      <c r="A80" s="69" t="s">
        <v>824</v>
      </c>
      <c r="B80" s="70" t="s">
        <v>825</v>
      </c>
      <c r="C80" s="24" t="b">
        <v>0</v>
      </c>
      <c r="D80" s="72"/>
      <c r="E80" s="10"/>
      <c r="F80" s="10"/>
      <c r="G80" s="10"/>
    </row>
    <row r="81" spans="1:8" ht="31.2">
      <c r="A81" s="69" t="s">
        <v>270</v>
      </c>
      <c r="B81" s="70" t="s">
        <v>826</v>
      </c>
      <c r="C81" s="24">
        <v>50</v>
      </c>
      <c r="D81" s="72"/>
      <c r="E81" s="10"/>
      <c r="F81" s="10"/>
      <c r="G81" s="10"/>
    </row>
    <row r="82" spans="1:8" ht="31.2">
      <c r="A82" s="69" t="s">
        <v>272</v>
      </c>
      <c r="B82" s="70" t="s">
        <v>827</v>
      </c>
      <c r="C82" s="24">
        <v>2</v>
      </c>
      <c r="D82" s="72"/>
      <c r="E82" s="10"/>
      <c r="F82" s="10"/>
      <c r="G82" s="10"/>
    </row>
    <row r="83" spans="1:8">
      <c r="A83" s="69" t="s">
        <v>828</v>
      </c>
      <c r="B83" s="70" t="s">
        <v>829</v>
      </c>
      <c r="C83" s="24" t="s">
        <v>509</v>
      </c>
      <c r="D83" s="72"/>
      <c r="E83" s="10"/>
      <c r="F83" s="10"/>
      <c r="G83" s="10"/>
    </row>
    <row r="84" spans="1:8">
      <c r="A84" s="13"/>
      <c r="B84" s="10"/>
      <c r="C84" s="10"/>
      <c r="D84" s="10"/>
      <c r="E84" s="10"/>
      <c r="F84" s="10"/>
      <c r="G84" s="10"/>
      <c r="H84" s="10"/>
    </row>
    <row r="85" spans="1:8">
      <c r="A85" s="13"/>
      <c r="B85" s="10"/>
      <c r="C85" s="10"/>
      <c r="D85" s="10"/>
      <c r="E85" s="10"/>
      <c r="F85" s="10"/>
      <c r="G85" s="10"/>
      <c r="H85" s="10"/>
    </row>
    <row r="86" spans="1:8">
      <c r="A86" s="113" t="s">
        <v>196</v>
      </c>
      <c r="B86" s="113"/>
      <c r="C86" s="113"/>
      <c r="D86" s="113"/>
      <c r="E86" s="113"/>
      <c r="F86" s="113"/>
      <c r="G86" s="113"/>
      <c r="H86" s="113"/>
    </row>
    <row r="87" spans="1:8">
      <c r="A87" s="14" t="s">
        <v>1432</v>
      </c>
      <c r="B87" s="14" t="s">
        <v>197</v>
      </c>
      <c r="C87" s="14" t="s">
        <v>198</v>
      </c>
      <c r="D87" s="14" t="s">
        <v>199</v>
      </c>
      <c r="E87" s="14" t="s">
        <v>200</v>
      </c>
      <c r="F87" s="14" t="s">
        <v>202</v>
      </c>
      <c r="G87" s="14" t="s">
        <v>21</v>
      </c>
      <c r="H87" s="14" t="s">
        <v>203</v>
      </c>
    </row>
    <row r="88" spans="1:8">
      <c r="A88" s="19">
        <v>8192</v>
      </c>
      <c r="B88" s="19"/>
      <c r="C88" s="19"/>
      <c r="D88" s="19"/>
      <c r="E88" s="19"/>
      <c r="F88" s="55" t="s">
        <v>1471</v>
      </c>
      <c r="G88" s="55" t="s">
        <v>1472</v>
      </c>
      <c r="H88" s="53"/>
    </row>
    <row r="89" spans="1:8" ht="31.2">
      <c r="A89" s="19">
        <v>8193</v>
      </c>
      <c r="B89" s="53"/>
      <c r="C89" s="53"/>
      <c r="D89" s="53"/>
      <c r="E89" s="53"/>
      <c r="F89" s="52" t="s">
        <v>1470</v>
      </c>
      <c r="G89" s="55" t="s">
        <v>1275</v>
      </c>
      <c r="H89" s="53"/>
    </row>
    <row r="90" spans="1:8" ht="31.2">
      <c r="A90" s="19">
        <v>8194</v>
      </c>
      <c r="B90" s="53"/>
      <c r="C90" s="53"/>
      <c r="D90" s="53"/>
      <c r="E90" s="53"/>
      <c r="F90" s="55" t="s">
        <v>1276</v>
      </c>
      <c r="G90" s="55" t="s">
        <v>1277</v>
      </c>
      <c r="H90" s="53"/>
    </row>
    <row r="91" spans="1:8">
      <c r="A91" s="19">
        <v>8195</v>
      </c>
      <c r="B91" s="53"/>
      <c r="C91" s="53"/>
      <c r="D91" s="53"/>
      <c r="E91" s="53"/>
      <c r="F91" s="55" t="s">
        <v>1278</v>
      </c>
      <c r="G91" s="55" t="s">
        <v>1279</v>
      </c>
      <c r="H91" s="53"/>
    </row>
    <row r="92" spans="1:8">
      <c r="A92" s="19">
        <v>8200</v>
      </c>
      <c r="B92" s="53"/>
      <c r="C92" s="53"/>
      <c r="D92" s="53"/>
      <c r="E92" s="53"/>
      <c r="F92" s="55" t="s">
        <v>1280</v>
      </c>
      <c r="G92" s="55" t="s">
        <v>1281</v>
      </c>
      <c r="H92" s="53"/>
    </row>
    <row r="93" spans="1:8">
      <c r="A93" s="19">
        <v>8201</v>
      </c>
      <c r="B93" s="53"/>
      <c r="C93" s="53"/>
      <c r="D93" s="53"/>
      <c r="E93" s="53"/>
      <c r="F93" s="55" t="s">
        <v>1280</v>
      </c>
      <c r="G93" s="55" t="s">
        <v>1281</v>
      </c>
      <c r="H93" s="53"/>
    </row>
    <row r="94" spans="1:8">
      <c r="A94" s="19">
        <v>8448</v>
      </c>
      <c r="B94" s="53"/>
      <c r="C94" s="53"/>
      <c r="D94" s="53"/>
      <c r="E94" s="53"/>
      <c r="F94" s="55" t="s">
        <v>1282</v>
      </c>
      <c r="G94" s="55" t="s">
        <v>1283</v>
      </c>
      <c r="H94" s="53"/>
    </row>
    <row r="95" spans="1:8">
      <c r="A95" s="19">
        <v>8449</v>
      </c>
      <c r="B95" s="53"/>
      <c r="C95" s="53"/>
      <c r="D95" s="53"/>
      <c r="E95" s="53"/>
      <c r="F95" s="55" t="s">
        <v>1282</v>
      </c>
      <c r="G95" s="55" t="s">
        <v>1283</v>
      </c>
      <c r="H95" s="53"/>
    </row>
    <row r="96" spans="1:8">
      <c r="A96" s="19">
        <v>8450</v>
      </c>
      <c r="B96" s="53"/>
      <c r="C96" s="53"/>
      <c r="D96" s="53"/>
      <c r="E96" s="53"/>
      <c r="F96" s="55" t="s">
        <v>1282</v>
      </c>
      <c r="G96" s="55" t="s">
        <v>1283</v>
      </c>
      <c r="H96" s="53"/>
    </row>
    <row r="97" spans="1:8">
      <c r="A97" s="19">
        <v>8451</v>
      </c>
      <c r="B97" s="53"/>
      <c r="C97" s="53"/>
      <c r="D97" s="53"/>
      <c r="E97" s="53"/>
      <c r="F97" s="55" t="s">
        <v>1282</v>
      </c>
      <c r="G97" s="55" t="s">
        <v>1283</v>
      </c>
      <c r="H97" s="53"/>
    </row>
    <row r="98" spans="1:8">
      <c r="A98" s="19">
        <v>8452</v>
      </c>
      <c r="B98" s="53"/>
      <c r="C98" s="53"/>
      <c r="D98" s="53"/>
      <c r="E98" s="53"/>
      <c r="F98" s="55" t="s">
        <v>1284</v>
      </c>
      <c r="G98" s="55" t="s">
        <v>1285</v>
      </c>
      <c r="H98" s="53"/>
    </row>
    <row r="99" spans="1:8" ht="31.2">
      <c r="A99" s="19">
        <v>8453</v>
      </c>
      <c r="B99" s="53"/>
      <c r="C99" s="53"/>
      <c r="D99" s="53"/>
      <c r="E99" s="53"/>
      <c r="F99" s="55" t="s">
        <v>1286</v>
      </c>
      <c r="G99" s="55" t="s">
        <v>1287</v>
      </c>
      <c r="H99" s="53"/>
    </row>
    <row r="100" spans="1:8">
      <c r="A100" s="19">
        <v>8454</v>
      </c>
      <c r="B100" s="53"/>
      <c r="C100" s="53"/>
      <c r="D100" s="53"/>
      <c r="E100" s="53"/>
      <c r="F100" s="55" t="s">
        <v>1288</v>
      </c>
      <c r="G100" s="55" t="s">
        <v>1287</v>
      </c>
      <c r="H100" s="53"/>
    </row>
    <row r="101" spans="1:8">
      <c r="A101" s="19">
        <v>8455</v>
      </c>
      <c r="B101" s="53"/>
      <c r="C101" s="53"/>
      <c r="D101" s="53"/>
      <c r="E101" s="53"/>
      <c r="F101" s="55" t="s">
        <v>1289</v>
      </c>
      <c r="G101" s="55" t="s">
        <v>1290</v>
      </c>
      <c r="H101" s="53"/>
    </row>
    <row r="102" spans="1:8">
      <c r="A102" s="19">
        <v>8456</v>
      </c>
      <c r="B102" s="53"/>
      <c r="C102" s="53"/>
      <c r="D102" s="53"/>
      <c r="E102" s="53"/>
      <c r="F102" s="55" t="s">
        <v>1289</v>
      </c>
      <c r="G102" s="55" t="s">
        <v>1290</v>
      </c>
      <c r="H102" s="53"/>
    </row>
    <row r="103" spans="1:8" ht="31.2">
      <c r="A103" s="19">
        <v>8457</v>
      </c>
      <c r="B103" s="53"/>
      <c r="C103" s="53"/>
      <c r="D103" s="53"/>
      <c r="E103" s="53"/>
      <c r="F103" s="55" t="s">
        <v>1291</v>
      </c>
      <c r="G103" s="55" t="s">
        <v>1292</v>
      </c>
      <c r="H103" s="53"/>
    </row>
    <row r="104" spans="1:8" ht="31.2">
      <c r="A104" s="19">
        <v>8458</v>
      </c>
      <c r="B104" s="53"/>
      <c r="C104" s="53"/>
      <c r="D104" s="53"/>
      <c r="E104" s="53"/>
      <c r="F104" s="55" t="s">
        <v>1293</v>
      </c>
      <c r="G104" s="55" t="s">
        <v>1294</v>
      </c>
      <c r="H104" s="53"/>
    </row>
    <row r="105" spans="1:8">
      <c r="A105" s="19">
        <v>8704</v>
      </c>
      <c r="B105" s="53"/>
      <c r="C105" s="53"/>
      <c r="D105" s="53"/>
      <c r="E105" s="53"/>
      <c r="F105" s="55" t="s">
        <v>1295</v>
      </c>
      <c r="G105" s="55" t="s">
        <v>1296</v>
      </c>
      <c r="H105" s="53"/>
    </row>
    <row r="106" spans="1:8">
      <c r="A106" s="19">
        <v>8705</v>
      </c>
      <c r="B106" s="53"/>
      <c r="C106" s="53"/>
      <c r="D106" s="53"/>
      <c r="E106" s="53"/>
      <c r="F106" s="55" t="s">
        <v>1297</v>
      </c>
      <c r="G106" s="55" t="s">
        <v>1296</v>
      </c>
      <c r="H106" s="53"/>
    </row>
    <row r="107" spans="1:8">
      <c r="A107" s="19">
        <v>8706</v>
      </c>
      <c r="B107" s="53"/>
      <c r="C107" s="53"/>
      <c r="D107" s="53"/>
      <c r="E107" s="53"/>
      <c r="F107" s="55" t="s">
        <v>1298</v>
      </c>
      <c r="G107" s="55" t="s">
        <v>1296</v>
      </c>
      <c r="H107" s="53"/>
    </row>
    <row r="108" spans="1:8">
      <c r="A108" s="19">
        <v>8707</v>
      </c>
      <c r="B108" s="53"/>
      <c r="C108" s="53"/>
      <c r="D108" s="53"/>
      <c r="E108" s="53"/>
      <c r="F108" s="55" t="s">
        <v>1298</v>
      </c>
      <c r="G108" s="55" t="s">
        <v>1296</v>
      </c>
      <c r="H108" s="53"/>
    </row>
    <row r="109" spans="1:8" ht="31.2">
      <c r="A109" s="19">
        <v>8720</v>
      </c>
      <c r="B109" s="53"/>
      <c r="C109" s="53"/>
      <c r="D109" s="53"/>
      <c r="E109" s="53"/>
      <c r="F109" s="55" t="s">
        <v>1299</v>
      </c>
      <c r="G109" s="55" t="s">
        <v>1300</v>
      </c>
      <c r="H109" s="53"/>
    </row>
    <row r="110" spans="1:8" ht="31.2">
      <c r="A110" s="19">
        <v>8721</v>
      </c>
      <c r="B110" s="53"/>
      <c r="C110" s="53"/>
      <c r="D110" s="53"/>
      <c r="E110" s="53"/>
      <c r="F110" s="55" t="s">
        <v>1299</v>
      </c>
      <c r="G110" s="55" t="s">
        <v>1300</v>
      </c>
      <c r="H110" s="53"/>
    </row>
    <row r="111" spans="1:8">
      <c r="A111" s="19">
        <v>8960</v>
      </c>
      <c r="B111" s="53"/>
      <c r="C111" s="53"/>
      <c r="D111" s="53"/>
      <c r="E111" s="53"/>
      <c r="F111" s="55" t="s">
        <v>1301</v>
      </c>
      <c r="G111" s="55" t="s">
        <v>1296</v>
      </c>
      <c r="H111" s="53"/>
    </row>
    <row r="112" spans="1:8">
      <c r="A112" s="19">
        <v>8961</v>
      </c>
      <c r="B112" s="53"/>
      <c r="C112" s="53"/>
      <c r="D112" s="53"/>
      <c r="E112" s="53"/>
      <c r="F112" s="55" t="s">
        <v>1301</v>
      </c>
      <c r="G112" s="55" t="s">
        <v>1296</v>
      </c>
      <c r="H112" s="53"/>
    </row>
    <row r="113" spans="1:8">
      <c r="A113" s="19">
        <v>8962</v>
      </c>
      <c r="B113" s="53"/>
      <c r="C113" s="53"/>
      <c r="D113" s="53"/>
      <c r="E113" s="53"/>
      <c r="F113" s="55" t="s">
        <v>1302</v>
      </c>
      <c r="G113" s="55" t="s">
        <v>1303</v>
      </c>
      <c r="H113" s="53"/>
    </row>
    <row r="114" spans="1:8">
      <c r="A114" s="19">
        <v>8963</v>
      </c>
      <c r="B114" s="53"/>
      <c r="C114" s="53"/>
      <c r="D114" s="53"/>
      <c r="E114" s="53"/>
      <c r="F114" s="55" t="s">
        <v>1304</v>
      </c>
      <c r="G114" s="55" t="s">
        <v>1305</v>
      </c>
      <c r="H114" s="53"/>
    </row>
    <row r="115" spans="1:8">
      <c r="A115" s="19">
        <v>8964</v>
      </c>
      <c r="B115" s="53"/>
      <c r="C115" s="53"/>
      <c r="D115" s="53"/>
      <c r="E115" s="53"/>
      <c r="F115" s="55" t="s">
        <v>1306</v>
      </c>
      <c r="G115" s="55" t="s">
        <v>1303</v>
      </c>
      <c r="H115" s="53"/>
    </row>
    <row r="116" spans="1:8">
      <c r="A116" s="19">
        <v>8965</v>
      </c>
      <c r="B116" s="53"/>
      <c r="C116" s="53"/>
      <c r="D116" s="53"/>
      <c r="E116" s="53"/>
      <c r="F116" s="55" t="s">
        <v>1306</v>
      </c>
      <c r="G116" s="55" t="s">
        <v>1303</v>
      </c>
      <c r="H116" s="53"/>
    </row>
    <row r="117" spans="1:8">
      <c r="A117" s="19">
        <v>8966</v>
      </c>
      <c r="B117" s="53"/>
      <c r="C117" s="53"/>
      <c r="D117" s="53"/>
      <c r="E117" s="53"/>
      <c r="F117" s="55" t="s">
        <v>1307</v>
      </c>
      <c r="G117" s="55" t="s">
        <v>1308</v>
      </c>
      <c r="H117" s="53"/>
    </row>
    <row r="118" spans="1:8">
      <c r="A118" s="19">
        <v>8967</v>
      </c>
      <c r="B118" s="53"/>
      <c r="C118" s="53"/>
      <c r="D118" s="53"/>
      <c r="E118" s="53"/>
      <c r="F118" s="55" t="s">
        <v>1307</v>
      </c>
      <c r="G118" s="55" t="s">
        <v>1308</v>
      </c>
      <c r="H118" s="53"/>
    </row>
    <row r="119" spans="1:8">
      <c r="A119" s="19">
        <v>8968</v>
      </c>
      <c r="B119" s="53"/>
      <c r="C119" s="53"/>
      <c r="D119" s="53"/>
      <c r="E119" s="53"/>
      <c r="F119" s="55" t="s">
        <v>1309</v>
      </c>
      <c r="G119" s="55" t="s">
        <v>1308</v>
      </c>
      <c r="H119" s="53"/>
    </row>
    <row r="120" spans="1:8">
      <c r="A120" s="19">
        <v>8969</v>
      </c>
      <c r="B120" s="53"/>
      <c r="C120" s="53"/>
      <c r="D120" s="53"/>
      <c r="E120" s="53"/>
      <c r="F120" s="55" t="s">
        <v>1310</v>
      </c>
      <c r="G120" s="55" t="s">
        <v>1308</v>
      </c>
      <c r="H120" s="53"/>
    </row>
    <row r="121" spans="1:8">
      <c r="A121" s="19">
        <v>8970</v>
      </c>
      <c r="B121" s="53"/>
      <c r="C121" s="53"/>
      <c r="D121" s="53"/>
      <c r="E121" s="53"/>
      <c r="F121" s="55" t="s">
        <v>1311</v>
      </c>
      <c r="G121" s="55" t="s">
        <v>1296</v>
      </c>
      <c r="H121" s="53"/>
    </row>
    <row r="122" spans="1:8">
      <c r="A122" s="19">
        <v>8971</v>
      </c>
      <c r="B122" s="53"/>
      <c r="C122" s="53"/>
      <c r="D122" s="53"/>
      <c r="E122" s="53"/>
      <c r="F122" s="55" t="s">
        <v>1311</v>
      </c>
      <c r="G122" s="55" t="s">
        <v>1296</v>
      </c>
      <c r="H122" s="53"/>
    </row>
    <row r="123" spans="1:8">
      <c r="A123" s="19">
        <v>8972</v>
      </c>
      <c r="B123" s="53"/>
      <c r="C123" s="53"/>
      <c r="D123" s="53"/>
      <c r="E123" s="53"/>
      <c r="F123" s="55" t="s">
        <v>1312</v>
      </c>
      <c r="G123" s="55" t="s">
        <v>1313</v>
      </c>
      <c r="H123" s="53"/>
    </row>
    <row r="124" spans="1:8">
      <c r="A124" s="19">
        <v>8973</v>
      </c>
      <c r="B124" s="53"/>
      <c r="C124" s="53"/>
      <c r="D124" s="53"/>
      <c r="E124" s="53"/>
      <c r="F124" s="55" t="s">
        <v>1312</v>
      </c>
      <c r="G124" s="55" t="s">
        <v>1308</v>
      </c>
      <c r="H124" s="53"/>
    </row>
    <row r="125" spans="1:8">
      <c r="A125" s="19">
        <v>8974</v>
      </c>
      <c r="B125" s="53"/>
      <c r="C125" s="53"/>
      <c r="D125" s="53"/>
      <c r="E125" s="53"/>
      <c r="F125" s="55" t="s">
        <v>1314</v>
      </c>
      <c r="G125" s="55" t="s">
        <v>1315</v>
      </c>
      <c r="H125" s="53"/>
    </row>
    <row r="126" spans="1:8">
      <c r="A126" s="19">
        <v>8975</v>
      </c>
      <c r="B126" s="53"/>
      <c r="C126" s="53"/>
      <c r="D126" s="53"/>
      <c r="E126" s="53"/>
      <c r="F126" s="55" t="s">
        <v>1316</v>
      </c>
      <c r="G126" s="55" t="s">
        <v>1303</v>
      </c>
      <c r="H126" s="53"/>
    </row>
    <row r="127" spans="1:8">
      <c r="A127" s="19">
        <v>8976</v>
      </c>
      <c r="B127" s="53"/>
      <c r="C127" s="53"/>
      <c r="D127" s="53"/>
      <c r="E127" s="53"/>
      <c r="F127" s="55" t="s">
        <v>1316</v>
      </c>
      <c r="G127" s="55" t="s">
        <v>1303</v>
      </c>
      <c r="H127" s="53"/>
    </row>
    <row r="128" spans="1:8">
      <c r="A128" s="19">
        <v>8977</v>
      </c>
      <c r="B128" s="53"/>
      <c r="C128" s="53"/>
      <c r="D128" s="53"/>
      <c r="E128" s="53"/>
      <c r="F128" s="55" t="s">
        <v>1317</v>
      </c>
      <c r="G128" s="55" t="s">
        <v>1296</v>
      </c>
      <c r="H128" s="53"/>
    </row>
    <row r="129" spans="1:8">
      <c r="A129" s="19">
        <v>8978</v>
      </c>
      <c r="B129" s="53"/>
      <c r="C129" s="53"/>
      <c r="D129" s="53"/>
      <c r="E129" s="53"/>
      <c r="F129" s="55" t="s">
        <v>1317</v>
      </c>
      <c r="G129" s="55" t="s">
        <v>1318</v>
      </c>
      <c r="H129" s="53"/>
    </row>
    <row r="130" spans="1:8">
      <c r="A130" s="19">
        <v>8979</v>
      </c>
      <c r="B130" s="53"/>
      <c r="C130" s="53"/>
      <c r="D130" s="53"/>
      <c r="E130" s="53"/>
      <c r="F130" s="55" t="s">
        <v>1319</v>
      </c>
      <c r="G130" s="55" t="s">
        <v>1320</v>
      </c>
      <c r="H130" s="53"/>
    </row>
    <row r="131" spans="1:8">
      <c r="A131" s="19">
        <v>8980</v>
      </c>
      <c r="B131" s="53"/>
      <c r="C131" s="53"/>
      <c r="D131" s="53"/>
      <c r="E131" s="53"/>
      <c r="F131" s="55" t="s">
        <v>1319</v>
      </c>
      <c r="G131" s="55" t="s">
        <v>1320</v>
      </c>
      <c r="H131" s="53"/>
    </row>
    <row r="132" spans="1:8">
      <c r="A132" s="19">
        <v>9233</v>
      </c>
      <c r="B132" s="53"/>
      <c r="C132" s="53"/>
      <c r="D132" s="53"/>
      <c r="E132" s="53"/>
      <c r="F132" s="55" t="s">
        <v>1321</v>
      </c>
      <c r="G132" s="55" t="s">
        <v>1473</v>
      </c>
      <c r="H132" s="53"/>
    </row>
    <row r="133" spans="1:8" ht="31.2">
      <c r="A133" s="19">
        <v>9234</v>
      </c>
      <c r="B133" s="53"/>
      <c r="C133" s="53"/>
      <c r="D133" s="53"/>
      <c r="E133" s="53"/>
      <c r="F133" s="55" t="s">
        <v>1322</v>
      </c>
      <c r="G133" s="55" t="s">
        <v>1274</v>
      </c>
      <c r="H133" s="53"/>
    </row>
    <row r="134" spans="1:8" ht="31.2">
      <c r="A134" s="19">
        <v>9235</v>
      </c>
      <c r="B134" s="53"/>
      <c r="C134" s="53"/>
      <c r="D134" s="53"/>
      <c r="E134" s="53"/>
      <c r="F134" s="55" t="s">
        <v>1322</v>
      </c>
      <c r="G134" s="55" t="s">
        <v>1323</v>
      </c>
      <c r="H134" s="53"/>
    </row>
    <row r="135" spans="1:8" ht="31.2">
      <c r="A135" s="19">
        <v>9236</v>
      </c>
      <c r="B135" s="53"/>
      <c r="C135" s="53"/>
      <c r="D135" s="53"/>
      <c r="E135" s="53"/>
      <c r="F135" s="55" t="s">
        <v>1322</v>
      </c>
      <c r="G135" s="55" t="s">
        <v>1274</v>
      </c>
      <c r="H135" s="53"/>
    </row>
    <row r="136" spans="1:8" ht="31.2">
      <c r="A136" s="19">
        <v>9237</v>
      </c>
      <c r="B136" s="53"/>
      <c r="C136" s="53"/>
      <c r="D136" s="53"/>
      <c r="E136" s="53"/>
      <c r="F136" s="55" t="s">
        <v>1322</v>
      </c>
      <c r="G136" s="55" t="s">
        <v>1323</v>
      </c>
      <c r="H136" s="53"/>
    </row>
    <row r="137" spans="1:8">
      <c r="A137" s="19">
        <v>9238</v>
      </c>
      <c r="B137" s="53"/>
      <c r="C137" s="53"/>
      <c r="D137" s="53"/>
      <c r="E137" s="53"/>
      <c r="F137" s="55" t="s">
        <v>1324</v>
      </c>
      <c r="G137" s="55" t="s">
        <v>1325</v>
      </c>
      <c r="H137" s="53"/>
    </row>
    <row r="138" spans="1:8" ht="31.2">
      <c r="A138" s="19">
        <v>9239</v>
      </c>
      <c r="B138" s="53"/>
      <c r="C138" s="53"/>
      <c r="D138" s="53"/>
      <c r="E138" s="53"/>
      <c r="F138" s="55" t="s">
        <v>1326</v>
      </c>
      <c r="G138" s="55" t="s">
        <v>1474</v>
      </c>
      <c r="H138" s="53"/>
    </row>
    <row r="139" spans="1:8">
      <c r="A139" s="19">
        <v>9240</v>
      </c>
      <c r="B139" s="53"/>
      <c r="C139" s="53"/>
      <c r="D139" s="53"/>
      <c r="E139" s="53"/>
      <c r="F139" s="55" t="s">
        <v>1327</v>
      </c>
      <c r="G139" s="55" t="s">
        <v>1328</v>
      </c>
      <c r="H139" s="53"/>
    </row>
    <row r="140" spans="1:8">
      <c r="A140" s="19">
        <v>9248</v>
      </c>
      <c r="B140" s="53"/>
      <c r="C140" s="53"/>
      <c r="D140" s="53"/>
      <c r="E140" s="53"/>
      <c r="F140" s="52" t="s">
        <v>1476</v>
      </c>
      <c r="G140" s="55" t="s">
        <v>1475</v>
      </c>
      <c r="H140" s="53"/>
    </row>
    <row r="141" spans="1:8">
      <c r="A141" s="19">
        <v>9249</v>
      </c>
      <c r="B141" s="53"/>
      <c r="C141" s="53"/>
      <c r="D141" s="53"/>
      <c r="E141" s="53"/>
      <c r="F141" s="52" t="s">
        <v>1476</v>
      </c>
      <c r="G141" s="55" t="s">
        <v>1475</v>
      </c>
      <c r="H141" s="53"/>
    </row>
  </sheetData>
  <mergeCells count="8">
    <mergeCell ref="A34:B34"/>
    <mergeCell ref="A44:D44"/>
    <mergeCell ref="A86:H86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1300-000000000000}">
      <formula1>"Tags Normal,Tags Reversed,Local"</formula1>
    </dataValidation>
    <dataValidation type="list" allowBlank="1" showInputMessage="1" showErrorMessage="1" sqref="B29 B31 B33 B35 B19:B21" xr:uid="{00000000-0002-0000-1300-000001000000}">
      <formula1>"Checked,Unchecked"</formula1>
    </dataValidation>
    <dataValidation type="list" allowBlank="1" showInputMessage="1" showErrorMessage="1" sqref="B25" xr:uid="{00000000-0002-0000-1300-000002000000}">
      <formula1>"N/A,Tags Normal,Tags Reversed,Direct Assignment"</formula1>
    </dataValidation>
    <dataValidation type="list" allowBlank="1" showInputMessage="1" showErrorMessage="1" sqref="B37" xr:uid="{00000000-0002-0000-1300-000003000000}">
      <formula1>"JSON,XML,CEF,LEEF,Key-Value Pairs,Delimited,Limited Structure"</formula1>
    </dataValidation>
    <dataValidation type="list" allowBlank="1" showInputMessage="1" showErrorMessage="1" sqref="B23:B24" xr:uid="{00000000-0002-0000-1300-000004000000}">
      <formula1>"N/A,Tags,Log Message Source"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H133"/>
  <sheetViews>
    <sheetView topLeftCell="A50" zoomScale="78" zoomScaleNormal="100" workbookViewId="0">
      <selection activeCell="C51" sqref="C51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6" width="40.796875" style="7" customWidth="1"/>
    <col min="7" max="7" width="40.796875" style="20" customWidth="1"/>
    <col min="8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830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3"/>
      <c r="H6" s="10"/>
    </row>
    <row r="7" spans="1:8">
      <c r="A7" s="11"/>
      <c r="B7" s="9"/>
      <c r="C7" s="10"/>
      <c r="D7" s="10"/>
      <c r="E7" s="10"/>
      <c r="F7" s="10"/>
      <c r="G7" s="13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3"/>
      <c r="H8" s="10"/>
    </row>
    <row r="9" spans="1:8">
      <c r="A9" s="11"/>
      <c r="B9" s="9"/>
      <c r="C9" s="10"/>
      <c r="D9" s="10"/>
      <c r="E9" s="10"/>
      <c r="F9" s="10"/>
      <c r="G9" s="13"/>
      <c r="H9" s="10"/>
    </row>
    <row r="10" spans="1:8">
      <c r="A10" s="11"/>
      <c r="B10" s="9"/>
      <c r="C10" s="10"/>
      <c r="D10" s="10"/>
      <c r="E10" s="10"/>
      <c r="F10" s="10"/>
      <c r="G10" s="13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3"/>
      <c r="H11" s="10"/>
    </row>
    <row r="12" spans="1:8">
      <c r="A12" s="8" t="s">
        <v>17</v>
      </c>
      <c r="B12" s="13" t="s">
        <v>831</v>
      </c>
      <c r="C12" s="10"/>
      <c r="D12" s="10"/>
      <c r="E12" s="10"/>
      <c r="F12" s="10"/>
      <c r="G12" s="13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3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3"/>
      <c r="H14" s="10"/>
    </row>
    <row r="15" spans="1:8" ht="31.2">
      <c r="A15" s="8" t="s">
        <v>21</v>
      </c>
      <c r="B15" s="13" t="s">
        <v>832</v>
      </c>
      <c r="C15" s="10"/>
      <c r="D15" s="10"/>
      <c r="E15" s="10"/>
      <c r="F15" s="10"/>
      <c r="G15" s="13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3"/>
      <c r="H16" s="10"/>
    </row>
    <row r="17" spans="1:8">
      <c r="A17" s="11"/>
      <c r="B17" s="9"/>
      <c r="C17" s="10"/>
      <c r="D17" s="10"/>
      <c r="E17" s="10"/>
      <c r="F17" s="10"/>
      <c r="G17" s="13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3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3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3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3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3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3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3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3"/>
      <c r="H25" s="10"/>
    </row>
    <row r="26" spans="1:8">
      <c r="A26" s="8" t="s">
        <v>36</v>
      </c>
      <c r="B26" s="9"/>
      <c r="C26" s="10"/>
      <c r="D26" s="10"/>
      <c r="E26" s="10"/>
      <c r="F26" s="10"/>
      <c r="G26" s="13"/>
      <c r="H26" s="10"/>
    </row>
    <row r="27" spans="1:8">
      <c r="A27" s="11"/>
      <c r="B27" s="9"/>
      <c r="C27" s="10"/>
      <c r="D27" s="10"/>
      <c r="E27" s="10"/>
      <c r="F27" s="10"/>
      <c r="G27" s="13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3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3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3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3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3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3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3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3"/>
      <c r="H35" s="10"/>
    </row>
    <row r="36" spans="1:8">
      <c r="A36" s="11"/>
      <c r="B36" s="9"/>
      <c r="C36" s="10"/>
      <c r="D36" s="10"/>
      <c r="E36" s="10"/>
      <c r="F36" s="10"/>
      <c r="G36" s="13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3"/>
      <c r="H37" s="10"/>
    </row>
    <row r="38" spans="1:8">
      <c r="A38" s="11"/>
      <c r="B38" s="9"/>
      <c r="C38" s="10"/>
      <c r="D38" s="10"/>
      <c r="E38" s="10"/>
      <c r="F38" s="10"/>
      <c r="G38" s="13"/>
      <c r="H38" s="10"/>
    </row>
    <row r="39" spans="1:8">
      <c r="A39" s="8" t="s">
        <v>46</v>
      </c>
      <c r="B39" s="9" t="s">
        <v>833</v>
      </c>
      <c r="C39" s="10"/>
      <c r="D39" s="10"/>
      <c r="E39" s="10"/>
      <c r="F39" s="10"/>
      <c r="G39" s="13"/>
      <c r="H39" s="10"/>
    </row>
    <row r="40" spans="1:8">
      <c r="A40" s="11"/>
      <c r="B40" s="9"/>
      <c r="C40" s="10"/>
      <c r="D40" s="10"/>
      <c r="E40" s="10"/>
      <c r="F40" s="10"/>
      <c r="G40" s="13"/>
      <c r="H40" s="10"/>
    </row>
    <row r="41" spans="1:8" ht="296.39999999999998">
      <c r="A41" s="8" t="s">
        <v>48</v>
      </c>
      <c r="B41" s="11" t="s">
        <v>834</v>
      </c>
      <c r="C41" s="10"/>
      <c r="D41" s="10"/>
      <c r="E41" s="10"/>
      <c r="F41" s="10"/>
      <c r="G41" s="13"/>
      <c r="H41" s="10"/>
    </row>
    <row r="42" spans="1:8">
      <c r="A42" s="8"/>
      <c r="B42" s="9"/>
      <c r="C42" s="10"/>
      <c r="D42" s="10"/>
      <c r="E42" s="10"/>
      <c r="F42" s="10"/>
      <c r="G42" s="13"/>
      <c r="H42" s="10"/>
    </row>
    <row r="43" spans="1:8">
      <c r="A43" s="13"/>
      <c r="B43" s="10"/>
      <c r="C43" s="10"/>
      <c r="D43" s="10"/>
      <c r="E43" s="10"/>
      <c r="F43" s="10"/>
      <c r="G43" s="13"/>
      <c r="H43" s="10"/>
    </row>
    <row r="44" spans="1:8">
      <c r="A44" s="110" t="s">
        <v>50</v>
      </c>
      <c r="B44" s="111"/>
      <c r="C44" s="111"/>
      <c r="D44" s="112"/>
      <c r="E44" s="10"/>
      <c r="F44" s="10"/>
      <c r="G44" s="13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3"/>
    </row>
    <row r="46" spans="1:8">
      <c r="A46" s="46" t="s">
        <v>54</v>
      </c>
      <c r="B46" s="68" t="s">
        <v>343</v>
      </c>
      <c r="C46" s="47">
        <v>43598</v>
      </c>
      <c r="D46" s="2"/>
      <c r="E46" s="10"/>
      <c r="F46" s="10"/>
      <c r="G46" s="13"/>
    </row>
    <row r="47" spans="1:8">
      <c r="A47" s="46" t="s">
        <v>56</v>
      </c>
      <c r="B47" s="68" t="s">
        <v>344</v>
      </c>
      <c r="C47" s="48">
        <v>0.68732638888888897</v>
      </c>
      <c r="D47" s="2"/>
      <c r="E47" s="10"/>
      <c r="F47" s="10"/>
      <c r="G47" s="13"/>
    </row>
    <row r="48" spans="1:8">
      <c r="A48" s="46" t="s">
        <v>58</v>
      </c>
      <c r="B48" s="68" t="s">
        <v>210</v>
      </c>
      <c r="C48" s="25" t="s">
        <v>1454</v>
      </c>
      <c r="D48" s="1" t="s">
        <v>67</v>
      </c>
      <c r="E48" s="10"/>
      <c r="F48" s="10"/>
      <c r="G48" s="13"/>
    </row>
    <row r="49" spans="1:7" ht="31.2">
      <c r="A49" s="46" t="s">
        <v>60</v>
      </c>
      <c r="B49" s="68" t="s">
        <v>835</v>
      </c>
      <c r="C49" s="41" t="s">
        <v>778</v>
      </c>
      <c r="D49" s="18" t="s">
        <v>63</v>
      </c>
      <c r="E49" s="10"/>
      <c r="F49" s="10"/>
      <c r="G49" s="13"/>
    </row>
    <row r="50" spans="1:7" ht="31.2">
      <c r="A50" s="46" t="s">
        <v>64</v>
      </c>
      <c r="B50" s="68" t="s">
        <v>836</v>
      </c>
      <c r="C50" s="41" t="s">
        <v>837</v>
      </c>
      <c r="D50" s="18"/>
      <c r="E50" s="10"/>
      <c r="F50" s="10"/>
      <c r="G50" s="13"/>
    </row>
    <row r="51" spans="1:7" ht="31.2">
      <c r="A51" s="46" t="s">
        <v>295</v>
      </c>
      <c r="B51" s="68" t="s">
        <v>838</v>
      </c>
      <c r="C51" s="41" t="s">
        <v>839</v>
      </c>
      <c r="D51" s="45"/>
      <c r="E51" s="10"/>
      <c r="F51" s="10"/>
      <c r="G51" s="13"/>
    </row>
    <row r="52" spans="1:7" ht="31.2">
      <c r="A52" s="46" t="s">
        <v>68</v>
      </c>
      <c r="B52" s="68" t="s">
        <v>384</v>
      </c>
      <c r="C52" s="41" t="s">
        <v>385</v>
      </c>
      <c r="D52" s="45" t="s">
        <v>71</v>
      </c>
      <c r="E52" s="10"/>
      <c r="F52" s="10"/>
      <c r="G52" s="13"/>
    </row>
    <row r="53" spans="1:7">
      <c r="A53" s="46" t="s">
        <v>72</v>
      </c>
      <c r="B53" s="68" t="s">
        <v>215</v>
      </c>
      <c r="C53" s="41" t="s">
        <v>74</v>
      </c>
      <c r="D53" s="2"/>
      <c r="E53" s="10"/>
      <c r="F53" s="10"/>
      <c r="G53" s="13"/>
    </row>
    <row r="54" spans="1:7">
      <c r="A54" s="46" t="s">
        <v>75</v>
      </c>
      <c r="B54" s="68" t="s">
        <v>216</v>
      </c>
      <c r="C54" s="41">
        <v>1.5577901849751099E+18</v>
      </c>
      <c r="D54" s="2"/>
      <c r="E54" s="10"/>
      <c r="F54" s="10"/>
      <c r="G54" s="13"/>
    </row>
    <row r="55" spans="1:7">
      <c r="A55" s="46" t="s">
        <v>123</v>
      </c>
      <c r="B55" s="68" t="s">
        <v>840</v>
      </c>
      <c r="C55" s="41">
        <v>1</v>
      </c>
      <c r="D55" s="45" t="s">
        <v>128</v>
      </c>
      <c r="E55" s="10"/>
      <c r="F55" s="10"/>
      <c r="G55" s="13"/>
    </row>
    <row r="56" spans="1:7">
      <c r="A56" s="46" t="s">
        <v>113</v>
      </c>
      <c r="B56" s="68" t="s">
        <v>841</v>
      </c>
      <c r="C56" s="41">
        <v>381780</v>
      </c>
      <c r="D56" s="45" t="s">
        <v>115</v>
      </c>
      <c r="E56" s="10"/>
      <c r="F56" s="10"/>
      <c r="G56" s="13"/>
    </row>
    <row r="57" spans="1:7" ht="31.2">
      <c r="A57" s="46" t="s">
        <v>77</v>
      </c>
      <c r="B57" s="68" t="s">
        <v>842</v>
      </c>
      <c r="C57" s="41" t="s">
        <v>218</v>
      </c>
      <c r="D57" s="45" t="s">
        <v>80</v>
      </c>
      <c r="E57" s="10"/>
      <c r="F57" s="10"/>
      <c r="G57" s="13"/>
    </row>
    <row r="58" spans="1:7">
      <c r="A58" s="46" t="s">
        <v>81</v>
      </c>
      <c r="B58" s="68" t="s">
        <v>843</v>
      </c>
      <c r="C58" s="41">
        <v>44258</v>
      </c>
      <c r="D58" s="45" t="s">
        <v>83</v>
      </c>
      <c r="E58" s="10"/>
      <c r="F58" s="10"/>
      <c r="G58" s="13"/>
    </row>
    <row r="59" spans="1:7" ht="31.2">
      <c r="A59" s="46" t="s">
        <v>84</v>
      </c>
      <c r="B59" s="68" t="s">
        <v>844</v>
      </c>
      <c r="C59" s="41" t="s">
        <v>86</v>
      </c>
      <c r="D59" s="45" t="s">
        <v>87</v>
      </c>
      <c r="E59" s="10"/>
      <c r="F59" s="10"/>
      <c r="G59" s="13"/>
    </row>
    <row r="60" spans="1:7" ht="31.2">
      <c r="A60" s="46" t="s">
        <v>88</v>
      </c>
      <c r="B60" s="68" t="s">
        <v>845</v>
      </c>
      <c r="C60" s="41" t="s">
        <v>90</v>
      </c>
      <c r="D60" s="45"/>
      <c r="E60" s="10"/>
      <c r="F60" s="10"/>
      <c r="G60" s="13"/>
    </row>
    <row r="61" spans="1:7" ht="31.2">
      <c r="A61" s="46" t="s">
        <v>91</v>
      </c>
      <c r="B61" s="68" t="s">
        <v>846</v>
      </c>
      <c r="C61" s="41" t="s">
        <v>221</v>
      </c>
      <c r="D61" s="45" t="s">
        <v>94</v>
      </c>
      <c r="E61" s="10"/>
      <c r="F61" s="10"/>
      <c r="G61" s="13"/>
    </row>
    <row r="62" spans="1:7" ht="31.2">
      <c r="A62" s="46" t="s">
        <v>95</v>
      </c>
      <c r="B62" s="68" t="s">
        <v>847</v>
      </c>
      <c r="C62" s="41">
        <v>80</v>
      </c>
      <c r="D62" s="45" t="s">
        <v>97</v>
      </c>
      <c r="E62" s="10"/>
      <c r="F62" s="10"/>
      <c r="G62" s="13"/>
    </row>
    <row r="63" spans="1:7" ht="31.2">
      <c r="A63" s="46" t="s">
        <v>98</v>
      </c>
      <c r="B63" s="68" t="s">
        <v>848</v>
      </c>
      <c r="C63" s="41" t="s">
        <v>100</v>
      </c>
      <c r="D63" s="45" t="s">
        <v>101</v>
      </c>
      <c r="E63" s="10"/>
      <c r="F63" s="10"/>
      <c r="G63" s="13"/>
    </row>
    <row r="64" spans="1:7" ht="31.2">
      <c r="A64" s="46" t="s">
        <v>102</v>
      </c>
      <c r="B64" s="68" t="s">
        <v>849</v>
      </c>
      <c r="C64" s="41" t="s">
        <v>90</v>
      </c>
      <c r="D64" s="45"/>
      <c r="E64" s="10"/>
      <c r="F64" s="10"/>
      <c r="G64" s="13"/>
    </row>
    <row r="65" spans="1:7">
      <c r="A65" s="46" t="s">
        <v>116</v>
      </c>
      <c r="B65" s="68" t="s">
        <v>850</v>
      </c>
      <c r="C65" s="41">
        <v>6</v>
      </c>
      <c r="D65" s="45" t="s">
        <v>118</v>
      </c>
      <c r="E65" s="10"/>
      <c r="F65" s="10"/>
      <c r="G65" s="13"/>
    </row>
    <row r="66" spans="1:7">
      <c r="A66" s="46" t="s">
        <v>129</v>
      </c>
      <c r="B66" s="68" t="s">
        <v>851</v>
      </c>
      <c r="C66" s="41" t="s">
        <v>131</v>
      </c>
      <c r="D66" s="45" t="s">
        <v>132</v>
      </c>
      <c r="E66" s="10"/>
      <c r="F66" s="10"/>
      <c r="G66" s="13"/>
    </row>
    <row r="67" spans="1:7">
      <c r="A67" s="46" t="s">
        <v>852</v>
      </c>
      <c r="B67" s="68" t="s">
        <v>853</v>
      </c>
      <c r="C67" s="41" t="s">
        <v>854</v>
      </c>
      <c r="D67" s="45" t="s">
        <v>1082</v>
      </c>
      <c r="E67" s="10"/>
      <c r="F67" s="10"/>
      <c r="G67" s="13"/>
    </row>
    <row r="68" spans="1:7">
      <c r="A68" s="46" t="s">
        <v>373</v>
      </c>
      <c r="B68" s="68" t="s">
        <v>855</v>
      </c>
      <c r="C68" s="41" t="s">
        <v>856</v>
      </c>
      <c r="D68" s="45" t="s">
        <v>1104</v>
      </c>
      <c r="E68" s="10"/>
      <c r="F68" s="10"/>
      <c r="G68" s="13"/>
    </row>
    <row r="69" spans="1:7" ht="31.2">
      <c r="A69" s="46" t="s">
        <v>119</v>
      </c>
      <c r="B69" s="68" t="s">
        <v>857</v>
      </c>
      <c r="C69" s="41" t="s">
        <v>784</v>
      </c>
      <c r="D69" s="45" t="s">
        <v>122</v>
      </c>
      <c r="E69" s="10"/>
      <c r="F69" s="10"/>
      <c r="G69" s="13"/>
    </row>
    <row r="70" spans="1:7">
      <c r="A70" s="46" t="s">
        <v>858</v>
      </c>
      <c r="B70" s="68" t="s">
        <v>859</v>
      </c>
      <c r="C70" s="41" t="s">
        <v>860</v>
      </c>
      <c r="D70" s="45" t="s">
        <v>298</v>
      </c>
      <c r="E70" s="10"/>
      <c r="F70" s="10"/>
      <c r="G70" s="13"/>
    </row>
    <row r="71" spans="1:7">
      <c r="A71" s="46" t="s">
        <v>768</v>
      </c>
      <c r="B71" s="68" t="s">
        <v>861</v>
      </c>
      <c r="C71" s="41" t="s">
        <v>862</v>
      </c>
      <c r="D71" s="45" t="s">
        <v>771</v>
      </c>
      <c r="E71" s="10"/>
      <c r="F71" s="10"/>
      <c r="G71" s="13"/>
    </row>
    <row r="72" spans="1:7">
      <c r="A72" s="46" t="s">
        <v>164</v>
      </c>
      <c r="B72" s="68" t="s">
        <v>863</v>
      </c>
      <c r="C72" s="41">
        <v>84</v>
      </c>
      <c r="D72" s="45" t="s">
        <v>169</v>
      </c>
      <c r="E72" s="10"/>
      <c r="F72" s="10"/>
      <c r="G72" s="13"/>
    </row>
    <row r="73" spans="1:7" ht="31.2">
      <c r="A73" s="46" t="s">
        <v>167</v>
      </c>
      <c r="B73" s="68" t="s">
        <v>864</v>
      </c>
      <c r="C73" s="41">
        <v>0</v>
      </c>
      <c r="D73" s="45" t="s">
        <v>166</v>
      </c>
      <c r="E73" s="10"/>
      <c r="F73" s="10"/>
      <c r="G73" s="13"/>
    </row>
    <row r="74" spans="1:7">
      <c r="A74" s="46" t="s">
        <v>793</v>
      </c>
      <c r="B74" s="68" t="s">
        <v>865</v>
      </c>
      <c r="C74" s="41" t="s">
        <v>866</v>
      </c>
      <c r="D74" s="45"/>
      <c r="E74" s="10"/>
      <c r="F74" s="10"/>
      <c r="G74" s="13"/>
    </row>
    <row r="75" spans="1:7">
      <c r="A75" s="46" t="s">
        <v>309</v>
      </c>
      <c r="B75" s="68" t="s">
        <v>310</v>
      </c>
      <c r="C75" s="41" t="s">
        <v>867</v>
      </c>
      <c r="D75" s="45" t="s">
        <v>312</v>
      </c>
      <c r="E75" s="10"/>
      <c r="F75" s="10"/>
      <c r="G75" s="13"/>
    </row>
    <row r="76" spans="1:7">
      <c r="A76" s="46" t="s">
        <v>360</v>
      </c>
      <c r="B76" s="68" t="s">
        <v>868</v>
      </c>
      <c r="C76" s="41" t="s">
        <v>869</v>
      </c>
      <c r="D76" s="45" t="s">
        <v>763</v>
      </c>
      <c r="E76" s="10"/>
      <c r="F76" s="10"/>
      <c r="G76" s="13"/>
    </row>
    <row r="77" spans="1:7">
      <c r="A77" s="46" t="s">
        <v>870</v>
      </c>
      <c r="B77" s="68" t="s">
        <v>871</v>
      </c>
      <c r="C77" s="41">
        <v>26</v>
      </c>
      <c r="D77" s="2"/>
      <c r="E77" s="10"/>
      <c r="F77" s="10"/>
      <c r="G77" s="13"/>
    </row>
    <row r="78" spans="1:7" ht="31.2">
      <c r="A78" s="46" t="s">
        <v>872</v>
      </c>
      <c r="B78" s="68" t="s">
        <v>873</v>
      </c>
      <c r="C78" s="41" t="s">
        <v>874</v>
      </c>
      <c r="D78" s="49" t="s">
        <v>804</v>
      </c>
      <c r="E78" s="10"/>
      <c r="F78" s="10"/>
      <c r="G78" s="13"/>
    </row>
    <row r="79" spans="1:7">
      <c r="A79" s="46" t="s">
        <v>270</v>
      </c>
      <c r="B79" s="68" t="s">
        <v>875</v>
      </c>
      <c r="C79" s="41">
        <v>30</v>
      </c>
      <c r="D79" s="49" t="s">
        <v>813</v>
      </c>
      <c r="E79" s="10"/>
      <c r="F79" s="10"/>
      <c r="G79" s="13"/>
    </row>
    <row r="80" spans="1:7" ht="31.2">
      <c r="A80" s="46" t="s">
        <v>272</v>
      </c>
      <c r="B80" s="68" t="s">
        <v>876</v>
      </c>
      <c r="C80" s="41">
        <v>4194304</v>
      </c>
      <c r="D80" s="2"/>
      <c r="E80" s="10"/>
      <c r="F80" s="10"/>
      <c r="G80" s="13"/>
    </row>
    <row r="81" spans="1:8">
      <c r="A81" s="46" t="s">
        <v>828</v>
      </c>
      <c r="B81" s="68" t="s">
        <v>877</v>
      </c>
      <c r="C81" s="41" t="s">
        <v>878</v>
      </c>
      <c r="D81" s="2"/>
      <c r="E81" s="10"/>
      <c r="F81" s="10"/>
      <c r="G81" s="13"/>
    </row>
    <row r="82" spans="1:8">
      <c r="A82" s="13"/>
      <c r="B82" s="10"/>
      <c r="C82" s="10"/>
      <c r="D82" s="10"/>
      <c r="E82" s="10"/>
      <c r="F82" s="10"/>
      <c r="G82" s="13"/>
      <c r="H82" s="10"/>
    </row>
    <row r="83" spans="1:8">
      <c r="A83" s="13"/>
      <c r="B83" s="10"/>
      <c r="C83" s="10"/>
      <c r="D83" s="10"/>
      <c r="E83" s="10"/>
      <c r="F83" s="10"/>
      <c r="G83" s="13"/>
      <c r="H83" s="10"/>
    </row>
    <row r="84" spans="1:8">
      <c r="A84" s="113" t="s">
        <v>196</v>
      </c>
      <c r="B84" s="113"/>
      <c r="C84" s="113"/>
      <c r="D84" s="113"/>
      <c r="E84" s="113"/>
      <c r="F84" s="113"/>
      <c r="G84" s="113"/>
      <c r="H84" s="113"/>
    </row>
    <row r="85" spans="1:8">
      <c r="A85" s="14" t="s">
        <v>1432</v>
      </c>
      <c r="B85" s="14" t="s">
        <v>197</v>
      </c>
      <c r="C85" s="14" t="s">
        <v>198</v>
      </c>
      <c r="D85" s="14" t="s">
        <v>199</v>
      </c>
      <c r="E85" s="14" t="s">
        <v>200</v>
      </c>
      <c r="F85" s="14" t="s">
        <v>202</v>
      </c>
      <c r="G85" s="14" t="s">
        <v>21</v>
      </c>
      <c r="H85" s="14" t="s">
        <v>203</v>
      </c>
    </row>
    <row r="86" spans="1:8">
      <c r="A86" s="57">
        <v>12544</v>
      </c>
      <c r="B86" s="57"/>
      <c r="C86" s="57"/>
      <c r="D86" s="57"/>
      <c r="E86" s="57"/>
      <c r="F86" s="86" t="s">
        <v>1329</v>
      </c>
      <c r="G86" s="86" t="s">
        <v>1462</v>
      </c>
      <c r="H86" s="58"/>
    </row>
    <row r="87" spans="1:8">
      <c r="A87" s="57">
        <v>12545</v>
      </c>
      <c r="B87" s="59"/>
      <c r="C87" s="59"/>
      <c r="D87" s="59"/>
      <c r="E87" s="59"/>
      <c r="F87" s="86" t="s">
        <v>1330</v>
      </c>
      <c r="G87" s="86" t="s">
        <v>1373</v>
      </c>
      <c r="H87" s="58"/>
    </row>
    <row r="88" spans="1:8" ht="31.2">
      <c r="A88" s="57">
        <v>12546</v>
      </c>
      <c r="B88" s="59"/>
      <c r="C88" s="59"/>
      <c r="D88" s="59"/>
      <c r="E88" s="59"/>
      <c r="F88" s="86" t="s">
        <v>1331</v>
      </c>
      <c r="G88" s="86" t="s">
        <v>1332</v>
      </c>
      <c r="H88" s="58"/>
    </row>
    <row r="89" spans="1:8">
      <c r="A89" s="57">
        <v>12555</v>
      </c>
      <c r="B89" s="59"/>
      <c r="C89" s="59"/>
      <c r="D89" s="59"/>
      <c r="E89" s="59"/>
      <c r="F89" s="86" t="s">
        <v>1333</v>
      </c>
      <c r="G89" s="86" t="s">
        <v>1463</v>
      </c>
      <c r="H89" s="58"/>
    </row>
    <row r="90" spans="1:8">
      <c r="A90" s="57">
        <v>12556</v>
      </c>
      <c r="B90" s="59"/>
      <c r="C90" s="59"/>
      <c r="D90" s="59"/>
      <c r="E90" s="59"/>
      <c r="F90" s="86" t="s">
        <v>1334</v>
      </c>
      <c r="G90" s="86" t="s">
        <v>1463</v>
      </c>
      <c r="H90" s="58"/>
    </row>
    <row r="91" spans="1:8">
      <c r="A91" s="57">
        <v>12801</v>
      </c>
      <c r="B91" s="59"/>
      <c r="C91" s="59"/>
      <c r="D91" s="59"/>
      <c r="E91" s="59"/>
      <c r="F91" s="86" t="s">
        <v>1335</v>
      </c>
      <c r="G91" s="86" t="s">
        <v>1365</v>
      </c>
      <c r="H91" s="58"/>
    </row>
    <row r="92" spans="1:8">
      <c r="A92" s="57">
        <v>13056</v>
      </c>
      <c r="B92" s="59"/>
      <c r="C92" s="59"/>
      <c r="D92" s="59"/>
      <c r="E92" s="59"/>
      <c r="F92" s="86" t="s">
        <v>1336</v>
      </c>
      <c r="G92" s="86" t="s">
        <v>1283</v>
      </c>
      <c r="H92" s="58"/>
    </row>
    <row r="93" spans="1:8">
      <c r="A93" s="57">
        <v>13057</v>
      </c>
      <c r="B93" s="59"/>
      <c r="C93" s="59"/>
      <c r="D93" s="59"/>
      <c r="E93" s="59"/>
      <c r="F93" s="86" t="s">
        <v>1337</v>
      </c>
      <c r="G93" s="86" t="s">
        <v>1134</v>
      </c>
      <c r="H93" s="58"/>
    </row>
    <row r="94" spans="1:8">
      <c r="A94" s="57">
        <v>13312</v>
      </c>
      <c r="B94" s="59"/>
      <c r="C94" s="59"/>
      <c r="D94" s="59"/>
      <c r="E94" s="59"/>
      <c r="F94" s="86" t="s">
        <v>1338</v>
      </c>
      <c r="G94" s="86" t="s">
        <v>1464</v>
      </c>
      <c r="H94" s="58"/>
    </row>
    <row r="95" spans="1:8">
      <c r="A95" s="57">
        <v>13317</v>
      </c>
      <c r="B95" s="59"/>
      <c r="C95" s="59"/>
      <c r="D95" s="59"/>
      <c r="E95" s="59"/>
      <c r="F95" s="86" t="s">
        <v>1339</v>
      </c>
      <c r="G95" s="86" t="s">
        <v>1464</v>
      </c>
      <c r="H95" s="58"/>
    </row>
    <row r="96" spans="1:8" ht="31.2">
      <c r="A96" s="57">
        <v>13568</v>
      </c>
      <c r="B96" s="59"/>
      <c r="C96" s="59"/>
      <c r="D96" s="59"/>
      <c r="E96" s="59"/>
      <c r="F96" s="86" t="s">
        <v>1340</v>
      </c>
      <c r="G96" s="86" t="s">
        <v>1381</v>
      </c>
      <c r="H96" s="58"/>
    </row>
    <row r="97" spans="1:8" ht="31.2">
      <c r="A97" s="57">
        <v>12288</v>
      </c>
      <c r="B97" s="59"/>
      <c r="C97" s="59"/>
      <c r="D97" s="59"/>
      <c r="E97" s="59"/>
      <c r="F97" s="86" t="s">
        <v>1341</v>
      </c>
      <c r="G97" s="86" t="s">
        <v>1342</v>
      </c>
      <c r="H97" s="58"/>
    </row>
    <row r="98" spans="1:8" ht="31.2">
      <c r="A98" s="57">
        <v>12289</v>
      </c>
      <c r="B98" s="59"/>
      <c r="C98" s="59"/>
      <c r="D98" s="59"/>
      <c r="E98" s="59"/>
      <c r="F98" s="86" t="s">
        <v>1343</v>
      </c>
      <c r="G98" s="86" t="s">
        <v>1344</v>
      </c>
      <c r="H98" s="58"/>
    </row>
    <row r="99" spans="1:8" ht="31.2">
      <c r="A99" s="57">
        <v>12290</v>
      </c>
      <c r="B99" s="59"/>
      <c r="C99" s="59"/>
      <c r="D99" s="59"/>
      <c r="E99" s="59"/>
      <c r="F99" s="86" t="s">
        <v>1345</v>
      </c>
      <c r="G99" s="86" t="s">
        <v>1346</v>
      </c>
      <c r="H99" s="58"/>
    </row>
    <row r="100" spans="1:8" ht="31.2">
      <c r="A100" s="57">
        <v>12291</v>
      </c>
      <c r="B100" s="59"/>
      <c r="C100" s="59"/>
      <c r="D100" s="59"/>
      <c r="E100" s="59"/>
      <c r="F100" s="86" t="s">
        <v>1347</v>
      </c>
      <c r="G100" s="86" t="s">
        <v>1346</v>
      </c>
      <c r="H100" s="58"/>
    </row>
    <row r="101" spans="1:8" ht="31.2">
      <c r="A101" s="57">
        <v>12292</v>
      </c>
      <c r="B101" s="59"/>
      <c r="C101" s="59"/>
      <c r="D101" s="59"/>
      <c r="E101" s="59"/>
      <c r="F101" s="86" t="s">
        <v>1348</v>
      </c>
      <c r="G101" s="86" t="s">
        <v>1349</v>
      </c>
      <c r="H101" s="58"/>
    </row>
    <row r="102" spans="1:8">
      <c r="A102" s="57">
        <v>12293</v>
      </c>
      <c r="B102" s="59"/>
      <c r="C102" s="59"/>
      <c r="D102" s="59"/>
      <c r="E102" s="59"/>
      <c r="F102" s="86" t="s">
        <v>1350</v>
      </c>
      <c r="G102" s="86" t="s">
        <v>1465</v>
      </c>
      <c r="H102" s="58"/>
    </row>
    <row r="103" spans="1:8" ht="31.2">
      <c r="A103" s="57">
        <v>12305</v>
      </c>
      <c r="B103" s="59"/>
      <c r="C103" s="59"/>
      <c r="D103" s="59"/>
      <c r="E103" s="59"/>
      <c r="F103" s="86" t="s">
        <v>1351</v>
      </c>
      <c r="G103" s="86" t="s">
        <v>1342</v>
      </c>
      <c r="H103" s="58"/>
    </row>
    <row r="104" spans="1:8" ht="31.2">
      <c r="A104" s="57">
        <v>12547</v>
      </c>
      <c r="B104" s="59"/>
      <c r="C104" s="59"/>
      <c r="D104" s="59"/>
      <c r="E104" s="59"/>
      <c r="F104" s="86" t="s">
        <v>1352</v>
      </c>
      <c r="G104" s="86" t="s">
        <v>1466</v>
      </c>
      <c r="H104" s="58"/>
    </row>
    <row r="105" spans="1:8" ht="31.2">
      <c r="A105" s="57">
        <v>12548</v>
      </c>
      <c r="B105" s="59"/>
      <c r="C105" s="59"/>
      <c r="D105" s="59"/>
      <c r="E105" s="59"/>
      <c r="F105" s="86" t="s">
        <v>1353</v>
      </c>
      <c r="G105" s="86" t="s">
        <v>1466</v>
      </c>
      <c r="H105" s="58"/>
    </row>
    <row r="106" spans="1:8" ht="31.2">
      <c r="A106" s="57">
        <v>12549</v>
      </c>
      <c r="B106" s="59"/>
      <c r="C106" s="59"/>
      <c r="D106" s="59"/>
      <c r="E106" s="59"/>
      <c r="F106" s="86" t="s">
        <v>1354</v>
      </c>
      <c r="G106" s="86" t="s">
        <v>1467</v>
      </c>
      <c r="H106" s="58"/>
    </row>
    <row r="107" spans="1:8" ht="31.2">
      <c r="A107" s="57">
        <v>12550</v>
      </c>
      <c r="B107" s="59"/>
      <c r="C107" s="59"/>
      <c r="D107" s="59"/>
      <c r="E107" s="59"/>
      <c r="F107" s="86" t="s">
        <v>1468</v>
      </c>
      <c r="G107" s="86" t="s">
        <v>1467</v>
      </c>
      <c r="H107" s="58"/>
    </row>
    <row r="108" spans="1:8">
      <c r="A108" s="57">
        <v>12551</v>
      </c>
      <c r="B108" s="59"/>
      <c r="C108" s="59"/>
      <c r="D108" s="59"/>
      <c r="E108" s="59"/>
      <c r="F108" s="86" t="s">
        <v>1355</v>
      </c>
      <c r="G108" s="86" t="s">
        <v>1356</v>
      </c>
      <c r="H108" s="58"/>
    </row>
    <row r="109" spans="1:8">
      <c r="A109" s="57">
        <v>12552</v>
      </c>
      <c r="B109" s="59"/>
      <c r="C109" s="59"/>
      <c r="D109" s="59"/>
      <c r="E109" s="59"/>
      <c r="F109" s="86" t="s">
        <v>1357</v>
      </c>
      <c r="G109" s="86" t="s">
        <v>1358</v>
      </c>
      <c r="H109" s="58"/>
    </row>
    <row r="110" spans="1:8" ht="31.2">
      <c r="A110" s="57">
        <v>12553</v>
      </c>
      <c r="B110" s="59"/>
      <c r="C110" s="59"/>
      <c r="D110" s="59"/>
      <c r="E110" s="59"/>
      <c r="F110" s="86" t="s">
        <v>1359</v>
      </c>
      <c r="G110" s="86" t="s">
        <v>1360</v>
      </c>
      <c r="H110" s="58"/>
    </row>
    <row r="111" spans="1:8">
      <c r="A111" s="57">
        <v>12554</v>
      </c>
      <c r="B111" s="59"/>
      <c r="C111" s="59"/>
      <c r="D111" s="59"/>
      <c r="E111" s="59"/>
      <c r="F111" s="86" t="s">
        <v>1361</v>
      </c>
      <c r="G111" s="86" t="s">
        <v>1362</v>
      </c>
      <c r="H111" s="58"/>
    </row>
    <row r="112" spans="1:8" ht="31.2">
      <c r="A112" s="57">
        <v>12557</v>
      </c>
      <c r="B112" s="59"/>
      <c r="C112" s="59"/>
      <c r="D112" s="59"/>
      <c r="E112" s="59"/>
      <c r="F112" s="86" t="s">
        <v>1363</v>
      </c>
      <c r="G112" s="86" t="s">
        <v>1784</v>
      </c>
      <c r="H112" s="58"/>
    </row>
    <row r="113" spans="1:8">
      <c r="A113" s="57">
        <v>12558</v>
      </c>
      <c r="B113" s="59"/>
      <c r="C113" s="59"/>
      <c r="D113" s="59"/>
      <c r="E113" s="59"/>
      <c r="F113" s="86" t="s">
        <v>1364</v>
      </c>
      <c r="G113" s="86" t="s">
        <v>1365</v>
      </c>
      <c r="H113" s="58"/>
    </row>
    <row r="114" spans="1:8">
      <c r="A114" s="57">
        <v>12559</v>
      </c>
      <c r="B114" s="59"/>
      <c r="C114" s="59"/>
      <c r="D114" s="59"/>
      <c r="E114" s="59"/>
      <c r="F114" s="86" t="s">
        <v>1366</v>
      </c>
      <c r="G114" s="86" t="s">
        <v>1464</v>
      </c>
      <c r="H114" s="58"/>
    </row>
    <row r="115" spans="1:8" ht="31.2">
      <c r="A115" s="57">
        <v>12560</v>
      </c>
      <c r="B115" s="59"/>
      <c r="C115" s="59"/>
      <c r="D115" s="59"/>
      <c r="E115" s="59"/>
      <c r="F115" s="86" t="s">
        <v>1367</v>
      </c>
      <c r="G115" s="86" t="s">
        <v>1368</v>
      </c>
      <c r="H115" s="58"/>
    </row>
    <row r="116" spans="1:8" ht="31.2">
      <c r="A116" s="57">
        <v>12561</v>
      </c>
      <c r="B116" s="59"/>
      <c r="C116" s="59"/>
      <c r="D116" s="59"/>
      <c r="E116" s="59"/>
      <c r="F116" s="86" t="s">
        <v>1367</v>
      </c>
      <c r="G116" s="86" t="s">
        <v>1368</v>
      </c>
      <c r="H116" s="58"/>
    </row>
    <row r="117" spans="1:8" ht="31.2">
      <c r="A117" s="57">
        <v>12562</v>
      </c>
      <c r="B117" s="59"/>
      <c r="C117" s="59"/>
      <c r="D117" s="59"/>
      <c r="E117" s="59"/>
      <c r="F117" s="86" t="s">
        <v>1369</v>
      </c>
      <c r="G117" s="86" t="s">
        <v>1368</v>
      </c>
      <c r="H117" s="58"/>
    </row>
    <row r="118" spans="1:8">
      <c r="A118" s="57">
        <v>12688</v>
      </c>
      <c r="B118" s="59"/>
      <c r="C118" s="59"/>
      <c r="D118" s="59"/>
      <c r="E118" s="59"/>
      <c r="F118" s="86" t="s">
        <v>1370</v>
      </c>
      <c r="G118" s="86" t="s">
        <v>1373</v>
      </c>
      <c r="H118" s="58"/>
    </row>
    <row r="119" spans="1:8">
      <c r="A119" s="57">
        <v>12800</v>
      </c>
      <c r="B119" s="59"/>
      <c r="C119" s="59"/>
      <c r="D119" s="59"/>
      <c r="E119" s="59"/>
      <c r="F119" s="86" t="s">
        <v>1364</v>
      </c>
      <c r="G119" s="86" t="s">
        <v>1365</v>
      </c>
      <c r="H119" s="58"/>
    </row>
    <row r="120" spans="1:8" ht="31.2">
      <c r="A120" s="57">
        <v>12802</v>
      </c>
      <c r="B120" s="59"/>
      <c r="C120" s="59"/>
      <c r="D120" s="59"/>
      <c r="E120" s="59"/>
      <c r="F120" s="86" t="s">
        <v>1371</v>
      </c>
      <c r="G120" s="86" t="s">
        <v>1469</v>
      </c>
      <c r="H120" s="58"/>
    </row>
    <row r="121" spans="1:8">
      <c r="A121" s="57">
        <v>13313</v>
      </c>
      <c r="B121" s="59"/>
      <c r="C121" s="59"/>
      <c r="D121" s="59"/>
      <c r="E121" s="59"/>
      <c r="F121" s="86" t="s">
        <v>1372</v>
      </c>
      <c r="G121" s="86" t="s">
        <v>1464</v>
      </c>
      <c r="H121" s="58"/>
    </row>
    <row r="122" spans="1:8">
      <c r="A122" s="57">
        <v>13314</v>
      </c>
      <c r="B122" s="59"/>
      <c r="C122" s="59"/>
      <c r="D122" s="59"/>
      <c r="E122" s="59"/>
      <c r="F122" s="86" t="s">
        <v>1372</v>
      </c>
      <c r="G122" s="86" t="s">
        <v>1464</v>
      </c>
      <c r="H122" s="58"/>
    </row>
    <row r="123" spans="1:8" ht="31.2">
      <c r="A123" s="57">
        <v>13315</v>
      </c>
      <c r="B123" s="59"/>
      <c r="C123" s="59"/>
      <c r="D123" s="59"/>
      <c r="E123" s="59"/>
      <c r="F123" s="86" t="s">
        <v>1374</v>
      </c>
      <c r="G123" s="86" t="s">
        <v>1469</v>
      </c>
      <c r="H123" s="58"/>
    </row>
    <row r="124" spans="1:8" ht="31.2">
      <c r="A124" s="57">
        <v>13316</v>
      </c>
      <c r="B124" s="59"/>
      <c r="C124" s="59"/>
      <c r="D124" s="59"/>
      <c r="E124" s="59"/>
      <c r="F124" s="86" t="s">
        <v>1375</v>
      </c>
      <c r="G124" s="86" t="s">
        <v>1469</v>
      </c>
      <c r="H124" s="58"/>
    </row>
    <row r="125" spans="1:8">
      <c r="A125" s="57">
        <v>13573</v>
      </c>
      <c r="B125" s="59"/>
      <c r="C125" s="59"/>
      <c r="D125" s="59"/>
      <c r="E125" s="59"/>
      <c r="F125" s="86" t="s">
        <v>1376</v>
      </c>
      <c r="G125" s="86" t="s">
        <v>1377</v>
      </c>
      <c r="H125" s="58"/>
    </row>
    <row r="126" spans="1:8" ht="31.2">
      <c r="A126" s="57">
        <v>13584</v>
      </c>
      <c r="B126" s="59"/>
      <c r="C126" s="59"/>
      <c r="D126" s="59"/>
      <c r="E126" s="59"/>
      <c r="F126" s="86" t="s">
        <v>1378</v>
      </c>
      <c r="G126" s="86" t="s">
        <v>1379</v>
      </c>
      <c r="H126" s="58"/>
    </row>
    <row r="127" spans="1:8" ht="31.2">
      <c r="A127" s="57">
        <v>13600</v>
      </c>
      <c r="B127" s="59"/>
      <c r="C127" s="59"/>
      <c r="D127" s="59"/>
      <c r="E127" s="59"/>
      <c r="F127" s="86" t="s">
        <v>1380</v>
      </c>
      <c r="G127" s="86" t="s">
        <v>1381</v>
      </c>
      <c r="H127" s="58"/>
    </row>
    <row r="128" spans="1:8">
      <c r="A128" s="57">
        <v>13601</v>
      </c>
      <c r="B128" s="59"/>
      <c r="C128" s="59"/>
      <c r="D128" s="59"/>
      <c r="E128" s="59"/>
      <c r="F128" s="86" t="s">
        <v>1382</v>
      </c>
      <c r="G128" s="86" t="s">
        <v>1377</v>
      </c>
      <c r="H128" s="58"/>
    </row>
    <row r="129" spans="1:8">
      <c r="A129" s="57">
        <v>13602</v>
      </c>
      <c r="B129" s="59"/>
      <c r="C129" s="59"/>
      <c r="D129" s="59"/>
      <c r="E129" s="59"/>
      <c r="F129" s="86" t="s">
        <v>1383</v>
      </c>
      <c r="G129" s="86" t="s">
        <v>1384</v>
      </c>
      <c r="H129" s="58"/>
    </row>
    <row r="130" spans="1:8">
      <c r="A130" s="57">
        <v>13603</v>
      </c>
      <c r="B130" s="59"/>
      <c r="C130" s="59"/>
      <c r="D130" s="59"/>
      <c r="E130" s="59"/>
      <c r="F130" s="86" t="s">
        <v>1385</v>
      </c>
      <c r="G130" s="86" t="s">
        <v>1386</v>
      </c>
      <c r="H130" s="58"/>
    </row>
    <row r="131" spans="1:8">
      <c r="A131" s="57">
        <v>13616</v>
      </c>
      <c r="B131" s="59"/>
      <c r="C131" s="59"/>
      <c r="D131" s="59"/>
      <c r="E131" s="59"/>
      <c r="F131" s="86" t="s">
        <v>1387</v>
      </c>
      <c r="G131" s="86" t="s">
        <v>1283</v>
      </c>
      <c r="H131" s="58"/>
    </row>
    <row r="132" spans="1:8" ht="31.2">
      <c r="A132" s="57">
        <v>13632</v>
      </c>
      <c r="B132" s="59"/>
      <c r="C132" s="59"/>
      <c r="D132" s="59"/>
      <c r="E132" s="59"/>
      <c r="F132" s="86" t="s">
        <v>1388</v>
      </c>
      <c r="G132" s="86" t="s">
        <v>1349</v>
      </c>
      <c r="H132" s="58"/>
    </row>
    <row r="133" spans="1:8" ht="31.2">
      <c r="A133" s="57">
        <v>13633</v>
      </c>
      <c r="B133" s="59"/>
      <c r="C133" s="59"/>
      <c r="D133" s="59"/>
      <c r="E133" s="59"/>
      <c r="F133" s="86" t="s">
        <v>1388</v>
      </c>
      <c r="G133" s="86" t="s">
        <v>1349</v>
      </c>
      <c r="H133" s="58"/>
    </row>
  </sheetData>
  <mergeCells count="8">
    <mergeCell ref="A34:B34"/>
    <mergeCell ref="A44:D44"/>
    <mergeCell ref="A84:H84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1400-000000000000}">
      <formula1>"Tags Normal,Tags Reversed,Local"</formula1>
    </dataValidation>
    <dataValidation type="list" allowBlank="1" showInputMessage="1" showErrorMessage="1" sqref="B29 B31 B33 B35 B19:B21" xr:uid="{00000000-0002-0000-1400-000001000000}">
      <formula1>"Checked,Unchecked"</formula1>
    </dataValidation>
    <dataValidation type="list" allowBlank="1" showInputMessage="1" showErrorMessage="1" sqref="B25" xr:uid="{00000000-0002-0000-1400-000002000000}">
      <formula1>"N/A,Tags Normal,Tags Reversed,Direct Assignment"</formula1>
    </dataValidation>
    <dataValidation type="list" allowBlank="1" showInputMessage="1" showErrorMessage="1" sqref="B37" xr:uid="{00000000-0002-0000-1400-000003000000}">
      <formula1>"JSON,XML,CEF,LEEF,Key-Value Pairs,Delimited,Limited Structure"</formula1>
    </dataValidation>
    <dataValidation type="list" allowBlank="1" showInputMessage="1" showErrorMessage="1" sqref="B23:B24" xr:uid="{00000000-0002-0000-1400-000004000000}">
      <formula1>"N/A,Tags,Log Message Source"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H88"/>
  <sheetViews>
    <sheetView topLeftCell="A42" zoomScale="90" zoomScaleNormal="90" workbookViewId="0">
      <selection activeCell="A82" sqref="A82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879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78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880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881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882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49.6">
      <c r="A41" s="8" t="s">
        <v>48</v>
      </c>
      <c r="B41" s="11" t="s">
        <v>883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21" t="s">
        <v>667</v>
      </c>
      <c r="C46" s="22">
        <v>43600</v>
      </c>
      <c r="D46" s="2"/>
      <c r="E46" s="10"/>
      <c r="F46" s="10"/>
      <c r="G46" s="10"/>
    </row>
    <row r="47" spans="1:8">
      <c r="A47" s="4" t="s">
        <v>56</v>
      </c>
      <c r="B47" s="21" t="s">
        <v>668</v>
      </c>
      <c r="C47" s="23">
        <v>0.629039351851852</v>
      </c>
      <c r="D47" s="2"/>
      <c r="E47" s="10"/>
      <c r="F47" s="10"/>
      <c r="G47" s="10"/>
    </row>
    <row r="48" spans="1:8">
      <c r="A48" s="4" t="s">
        <v>58</v>
      </c>
      <c r="B48" s="21" t="s">
        <v>669</v>
      </c>
      <c r="C48" s="74" t="s">
        <v>1455</v>
      </c>
      <c r="D48" s="1" t="s">
        <v>67</v>
      </c>
      <c r="E48" s="10"/>
      <c r="F48" s="10"/>
      <c r="G48" s="10"/>
    </row>
    <row r="49" spans="1:7">
      <c r="A49" s="4" t="s">
        <v>60</v>
      </c>
      <c r="B49" s="21" t="s">
        <v>670</v>
      </c>
      <c r="C49" s="24" t="s">
        <v>778</v>
      </c>
      <c r="D49" s="18" t="s">
        <v>63</v>
      </c>
      <c r="E49" s="10"/>
      <c r="F49" s="10"/>
      <c r="G49" s="10"/>
    </row>
    <row r="50" spans="1:7">
      <c r="A50" s="4" t="s">
        <v>64</v>
      </c>
      <c r="B50" s="21" t="s">
        <v>671</v>
      </c>
      <c r="C50" s="24" t="s">
        <v>884</v>
      </c>
      <c r="D50" s="18"/>
      <c r="E50" s="10"/>
      <c r="F50" s="10"/>
      <c r="G50" s="10"/>
    </row>
    <row r="51" spans="1:7" ht="31.2">
      <c r="A51" s="4" t="s">
        <v>295</v>
      </c>
      <c r="B51" s="21" t="s">
        <v>885</v>
      </c>
      <c r="C51" s="24" t="s">
        <v>886</v>
      </c>
      <c r="D51" s="19"/>
      <c r="E51" s="10"/>
      <c r="F51" s="10"/>
      <c r="G51" s="10"/>
    </row>
    <row r="52" spans="1:7">
      <c r="A52" s="4" t="s">
        <v>68</v>
      </c>
      <c r="B52" s="21" t="s">
        <v>673</v>
      </c>
      <c r="C52" s="24" t="s">
        <v>70</v>
      </c>
      <c r="D52" s="19" t="s">
        <v>71</v>
      </c>
      <c r="E52" s="10"/>
      <c r="F52" s="10"/>
      <c r="G52" s="10"/>
    </row>
    <row r="53" spans="1:7" ht="31.2">
      <c r="A53" s="4" t="s">
        <v>72</v>
      </c>
      <c r="B53" s="21" t="s">
        <v>674</v>
      </c>
      <c r="C53" s="24" t="s">
        <v>74</v>
      </c>
      <c r="D53" s="1"/>
      <c r="E53" s="10"/>
      <c r="F53" s="10"/>
      <c r="G53" s="10"/>
    </row>
    <row r="54" spans="1:7">
      <c r="A54" s="4" t="s">
        <v>75</v>
      </c>
      <c r="B54" s="21" t="s">
        <v>675</v>
      </c>
      <c r="C54" s="24">
        <v>1.55795794974093E+18</v>
      </c>
      <c r="D54" s="1"/>
      <c r="E54" s="10"/>
      <c r="F54" s="10"/>
      <c r="G54" s="10"/>
    </row>
    <row r="55" spans="1:7" ht="31.2">
      <c r="A55" s="4" t="s">
        <v>123</v>
      </c>
      <c r="B55" s="21" t="s">
        <v>791</v>
      </c>
      <c r="C55" s="24">
        <v>1</v>
      </c>
      <c r="D55" s="1" t="s">
        <v>128</v>
      </c>
      <c r="E55" s="10"/>
      <c r="F55" s="10"/>
      <c r="G55" s="10"/>
    </row>
    <row r="56" spans="1:7" ht="31.2">
      <c r="A56" s="4" t="s">
        <v>113</v>
      </c>
      <c r="B56" s="21" t="s">
        <v>786</v>
      </c>
      <c r="C56" s="24">
        <v>6887</v>
      </c>
      <c r="D56" s="1" t="s">
        <v>115</v>
      </c>
      <c r="E56" s="10"/>
      <c r="F56" s="10"/>
      <c r="G56" s="10"/>
    </row>
    <row r="57" spans="1:7">
      <c r="A57" s="4" t="s">
        <v>77</v>
      </c>
      <c r="B57" s="21" t="s">
        <v>787</v>
      </c>
      <c r="C57" s="24" t="s">
        <v>218</v>
      </c>
      <c r="D57" s="1" t="s">
        <v>80</v>
      </c>
      <c r="E57" s="10"/>
      <c r="F57" s="10"/>
      <c r="G57" s="10"/>
    </row>
    <row r="58" spans="1:7">
      <c r="A58" s="4" t="s">
        <v>81</v>
      </c>
      <c r="B58" s="21" t="s">
        <v>789</v>
      </c>
      <c r="C58" s="24">
        <v>50002</v>
      </c>
      <c r="D58" s="1" t="s">
        <v>83</v>
      </c>
      <c r="E58" s="10"/>
      <c r="F58" s="10"/>
      <c r="G58" s="10"/>
    </row>
    <row r="59" spans="1:7">
      <c r="A59" s="4" t="s">
        <v>84</v>
      </c>
      <c r="B59" s="21" t="s">
        <v>85</v>
      </c>
      <c r="C59" s="24" t="s">
        <v>86</v>
      </c>
      <c r="D59" s="1" t="s">
        <v>87</v>
      </c>
      <c r="E59" s="10"/>
      <c r="F59" s="10"/>
      <c r="G59" s="10"/>
    </row>
    <row r="60" spans="1:7">
      <c r="A60" s="4" t="s">
        <v>88</v>
      </c>
      <c r="B60" s="21" t="s">
        <v>89</v>
      </c>
      <c r="C60" s="24" t="s">
        <v>90</v>
      </c>
      <c r="D60" s="1"/>
      <c r="E60" s="10"/>
      <c r="F60" s="10"/>
      <c r="G60" s="10"/>
    </row>
    <row r="61" spans="1:7" ht="31.2">
      <c r="A61" s="4" t="s">
        <v>91</v>
      </c>
      <c r="B61" s="21" t="s">
        <v>788</v>
      </c>
      <c r="C61" s="24" t="s">
        <v>221</v>
      </c>
      <c r="D61" s="19" t="s">
        <v>94</v>
      </c>
      <c r="E61" s="10"/>
      <c r="F61" s="10"/>
      <c r="G61" s="10"/>
    </row>
    <row r="62" spans="1:7">
      <c r="A62" s="4" t="s">
        <v>95</v>
      </c>
      <c r="B62" s="21" t="s">
        <v>790</v>
      </c>
      <c r="C62" s="24">
        <v>53</v>
      </c>
      <c r="D62" s="19" t="s">
        <v>97</v>
      </c>
      <c r="E62" s="10"/>
      <c r="F62" s="10"/>
      <c r="G62" s="10"/>
    </row>
    <row r="63" spans="1:7">
      <c r="A63" s="4" t="s">
        <v>98</v>
      </c>
      <c r="B63" s="21" t="s">
        <v>99</v>
      </c>
      <c r="C63" s="24" t="s">
        <v>100</v>
      </c>
      <c r="D63" s="19" t="s">
        <v>101</v>
      </c>
      <c r="E63" s="10"/>
      <c r="F63" s="10"/>
      <c r="G63" s="10"/>
    </row>
    <row r="64" spans="1:7">
      <c r="A64" s="4" t="s">
        <v>102</v>
      </c>
      <c r="B64" s="21" t="s">
        <v>103</v>
      </c>
      <c r="C64" s="24" t="s">
        <v>90</v>
      </c>
      <c r="D64" s="19"/>
      <c r="E64" s="10"/>
      <c r="F64" s="10"/>
      <c r="G64" s="10"/>
    </row>
    <row r="65" spans="1:8">
      <c r="A65" s="4" t="s">
        <v>116</v>
      </c>
      <c r="B65" s="21" t="s">
        <v>887</v>
      </c>
      <c r="C65" s="24">
        <v>17</v>
      </c>
      <c r="D65" s="19" t="s">
        <v>118</v>
      </c>
      <c r="E65" s="10"/>
      <c r="F65" s="10"/>
      <c r="G65" s="10"/>
    </row>
    <row r="66" spans="1:8">
      <c r="A66" s="4" t="s">
        <v>373</v>
      </c>
      <c r="B66" s="21" t="s">
        <v>816</v>
      </c>
      <c r="C66" s="24" t="s">
        <v>888</v>
      </c>
      <c r="D66" s="2"/>
      <c r="E66" s="10"/>
      <c r="F66" s="10"/>
      <c r="G66" s="10"/>
    </row>
    <row r="67" spans="1:8">
      <c r="A67" s="4" t="s">
        <v>188</v>
      </c>
      <c r="B67" s="21" t="s">
        <v>189</v>
      </c>
      <c r="C67" s="24" t="s">
        <v>889</v>
      </c>
      <c r="D67" s="1" t="s">
        <v>190</v>
      </c>
      <c r="E67" s="10"/>
      <c r="F67" s="10"/>
      <c r="G67" s="10"/>
    </row>
    <row r="68" spans="1:8">
      <c r="A68" s="4" t="s">
        <v>890</v>
      </c>
      <c r="B68" s="21" t="s">
        <v>891</v>
      </c>
      <c r="C68" s="24">
        <v>57945</v>
      </c>
      <c r="D68" s="1"/>
      <c r="E68" s="10"/>
      <c r="F68" s="10"/>
      <c r="G68" s="10"/>
    </row>
    <row r="69" spans="1:8">
      <c r="A69" s="4" t="s">
        <v>892</v>
      </c>
      <c r="B69" s="21" t="s">
        <v>893</v>
      </c>
      <c r="C69" s="24" t="s">
        <v>894</v>
      </c>
      <c r="D69" s="1"/>
      <c r="E69" s="10"/>
      <c r="F69" s="10"/>
      <c r="G69" s="10"/>
    </row>
    <row r="70" spans="1:8">
      <c r="A70" s="4" t="s">
        <v>895</v>
      </c>
      <c r="B70" s="21" t="s">
        <v>896</v>
      </c>
      <c r="C70" s="24" t="s">
        <v>897</v>
      </c>
      <c r="D70" s="1"/>
      <c r="E70" s="10"/>
      <c r="F70" s="10"/>
      <c r="G70" s="10"/>
    </row>
    <row r="71" spans="1:8" ht="31.2">
      <c r="A71" s="4" t="s">
        <v>898</v>
      </c>
      <c r="B71" s="21" t="s">
        <v>899</v>
      </c>
      <c r="C71" s="24">
        <v>28</v>
      </c>
      <c r="D71" s="1"/>
      <c r="E71" s="10"/>
      <c r="F71" s="10"/>
      <c r="G71" s="10"/>
    </row>
    <row r="72" spans="1:8">
      <c r="A72" s="4" t="s">
        <v>900</v>
      </c>
      <c r="B72" s="21" t="s">
        <v>901</v>
      </c>
      <c r="C72" s="24" t="s">
        <v>902</v>
      </c>
      <c r="D72" s="1"/>
      <c r="E72" s="10"/>
      <c r="F72" s="10"/>
      <c r="G72" s="10"/>
    </row>
    <row r="73" spans="1:8" ht="31.2">
      <c r="A73" s="4" t="s">
        <v>903</v>
      </c>
      <c r="B73" s="21" t="s">
        <v>904</v>
      </c>
      <c r="C73" s="24" t="s">
        <v>905</v>
      </c>
      <c r="D73" s="1"/>
      <c r="E73" s="10"/>
      <c r="F73" s="10"/>
      <c r="G73" s="10"/>
    </row>
    <row r="74" spans="1:8" ht="31.2">
      <c r="A74" s="4" t="s">
        <v>309</v>
      </c>
      <c r="B74" s="21" t="s">
        <v>906</v>
      </c>
      <c r="C74" s="24" t="s">
        <v>907</v>
      </c>
      <c r="D74" s="1" t="s">
        <v>312</v>
      </c>
      <c r="E74" s="10"/>
      <c r="F74" s="10"/>
      <c r="G74" s="10"/>
    </row>
    <row r="75" spans="1:8" ht="31.2">
      <c r="A75" s="4" t="s">
        <v>119</v>
      </c>
      <c r="B75" s="21" t="s">
        <v>908</v>
      </c>
      <c r="C75" s="24" t="s">
        <v>909</v>
      </c>
      <c r="D75" s="1" t="s">
        <v>122</v>
      </c>
      <c r="E75" s="10"/>
      <c r="F75" s="10"/>
      <c r="G75" s="10"/>
    </row>
    <row r="76" spans="1:8" ht="31.2">
      <c r="A76" s="4" t="s">
        <v>870</v>
      </c>
      <c r="B76" s="21" t="s">
        <v>910</v>
      </c>
      <c r="C76" s="24">
        <v>52</v>
      </c>
      <c r="D76" s="1" t="s">
        <v>302</v>
      </c>
      <c r="E76" s="10"/>
      <c r="F76" s="10"/>
      <c r="G76" s="10"/>
    </row>
    <row r="77" spans="1:8">
      <c r="A77" s="4" t="s">
        <v>872</v>
      </c>
      <c r="B77" s="21" t="s">
        <v>911</v>
      </c>
      <c r="C77" s="24" t="s">
        <v>912</v>
      </c>
      <c r="D77" s="1" t="s">
        <v>496</v>
      </c>
      <c r="E77" s="10"/>
      <c r="F77" s="10"/>
      <c r="G77" s="10"/>
    </row>
    <row r="78" spans="1:8">
      <c r="A78" s="13"/>
      <c r="B78" s="10"/>
      <c r="C78" s="10"/>
      <c r="D78" s="10"/>
      <c r="E78" s="10"/>
      <c r="F78" s="10"/>
      <c r="G78" s="10"/>
      <c r="H78" s="10"/>
    </row>
    <row r="79" spans="1:8">
      <c r="A79" s="13"/>
      <c r="B79" s="10"/>
      <c r="C79" s="10"/>
      <c r="D79" s="10"/>
      <c r="E79" s="10"/>
      <c r="F79" s="10"/>
      <c r="G79" s="10"/>
      <c r="H79" s="10"/>
    </row>
    <row r="80" spans="1:8">
      <c r="A80" s="113" t="s">
        <v>196</v>
      </c>
      <c r="B80" s="113"/>
      <c r="C80" s="113"/>
      <c r="D80" s="113"/>
      <c r="E80" s="113"/>
      <c r="F80" s="113"/>
      <c r="G80" s="113"/>
      <c r="H80" s="113"/>
    </row>
    <row r="81" spans="1:8">
      <c r="A81" s="14" t="s">
        <v>1432</v>
      </c>
      <c r="B81" s="14" t="s">
        <v>197</v>
      </c>
      <c r="C81" s="14" t="s">
        <v>198</v>
      </c>
      <c r="D81" s="14" t="s">
        <v>199</v>
      </c>
      <c r="E81" s="14" t="s">
        <v>200</v>
      </c>
      <c r="F81" s="14" t="s">
        <v>202</v>
      </c>
      <c r="G81" s="14" t="s">
        <v>21</v>
      </c>
      <c r="H81" s="14" t="s">
        <v>203</v>
      </c>
    </row>
    <row r="82" spans="1:8" ht="31.2">
      <c r="A82" s="19">
        <v>54401</v>
      </c>
      <c r="B82" s="53"/>
      <c r="C82" s="53"/>
      <c r="D82" s="53"/>
      <c r="E82" s="53"/>
      <c r="F82" s="51" t="s">
        <v>1389</v>
      </c>
      <c r="G82" s="55" t="s">
        <v>881</v>
      </c>
      <c r="H82" s="53"/>
    </row>
    <row r="83" spans="1:8">
      <c r="A83" s="19">
        <v>54600</v>
      </c>
      <c r="B83" s="53"/>
      <c r="C83" s="53"/>
      <c r="D83" s="53"/>
      <c r="E83" s="53"/>
      <c r="F83" s="51" t="s">
        <v>1390</v>
      </c>
      <c r="G83" s="55" t="s">
        <v>1283</v>
      </c>
      <c r="H83" s="53"/>
    </row>
    <row r="84" spans="1:8">
      <c r="A84" s="19">
        <v>54601</v>
      </c>
      <c r="B84" s="53"/>
      <c r="C84" s="53"/>
      <c r="D84" s="53"/>
      <c r="E84" s="53"/>
      <c r="F84" s="51" t="s">
        <v>1391</v>
      </c>
      <c r="G84" s="55" t="s">
        <v>1283</v>
      </c>
      <c r="H84" s="53"/>
    </row>
    <row r="85" spans="1:8">
      <c r="A85" s="19">
        <v>54800</v>
      </c>
      <c r="B85" s="53"/>
      <c r="C85" s="53"/>
      <c r="D85" s="53"/>
      <c r="E85" s="53"/>
      <c r="F85" s="51" t="s">
        <v>1392</v>
      </c>
      <c r="G85" s="55" t="s">
        <v>1365</v>
      </c>
      <c r="H85" s="53"/>
    </row>
    <row r="86" spans="1:8">
      <c r="A86" s="19">
        <v>54801</v>
      </c>
      <c r="B86" s="53"/>
      <c r="C86" s="53"/>
      <c r="D86" s="53"/>
      <c r="E86" s="53"/>
      <c r="F86" s="51" t="s">
        <v>1393</v>
      </c>
      <c r="G86" s="55" t="s">
        <v>1365</v>
      </c>
      <c r="H86" s="53"/>
    </row>
    <row r="87" spans="1:8" ht="31.2">
      <c r="A87" s="19">
        <v>54802</v>
      </c>
      <c r="B87" s="53"/>
      <c r="C87" s="53"/>
      <c r="D87" s="53"/>
      <c r="E87" s="53"/>
      <c r="F87" s="51" t="s">
        <v>1394</v>
      </c>
      <c r="G87" s="55" t="s">
        <v>881</v>
      </c>
      <c r="H87" s="53"/>
    </row>
    <row r="88" spans="1:8">
      <c r="A88" s="19">
        <v>54803</v>
      </c>
      <c r="B88" s="53"/>
      <c r="C88" s="53"/>
      <c r="D88" s="53"/>
      <c r="E88" s="53"/>
      <c r="F88" s="51" t="s">
        <v>1395</v>
      </c>
      <c r="G88" s="55" t="s">
        <v>1283</v>
      </c>
      <c r="H88" s="53"/>
    </row>
  </sheetData>
  <mergeCells count="8">
    <mergeCell ref="A34:B34"/>
    <mergeCell ref="A44:D44"/>
    <mergeCell ref="A80:H80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1500-000000000000}">
      <formula1>"Tags Normal,Tags Reversed,Local"</formula1>
    </dataValidation>
    <dataValidation type="list" allowBlank="1" showInputMessage="1" showErrorMessage="1" sqref="B29 B31 B33 B35 B19:B21" xr:uid="{00000000-0002-0000-1500-000001000000}">
      <formula1>"Checked,Unchecked"</formula1>
    </dataValidation>
    <dataValidation type="list" allowBlank="1" showInputMessage="1" showErrorMessage="1" sqref="B25" xr:uid="{00000000-0002-0000-1500-000002000000}">
      <formula1>"N/A,Tags Normal,Tags Reversed,Direct Assignment"</formula1>
    </dataValidation>
    <dataValidation type="list" allowBlank="1" showInputMessage="1" showErrorMessage="1" sqref="B37" xr:uid="{00000000-0002-0000-1500-000003000000}">
      <formula1>"JSON,XML,CEF,LEEF,Key-Value Pairs,Delimited,Limited Structure"</formula1>
    </dataValidation>
    <dataValidation type="list" allowBlank="1" showInputMessage="1" showErrorMessage="1" sqref="B23:B24" xr:uid="{00000000-0002-0000-1500-000004000000}">
      <formula1>"N/A,Tags,Log Message Source"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H95"/>
  <sheetViews>
    <sheetView topLeftCell="A86" workbookViewId="0">
      <selection activeCell="B107" sqref="B10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913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914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915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916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96.39999999999998">
      <c r="A41" s="8" t="s">
        <v>48</v>
      </c>
      <c r="B41" s="11" t="s">
        <v>917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667</v>
      </c>
      <c r="C46" s="45">
        <v>43600</v>
      </c>
      <c r="D46" s="14"/>
      <c r="E46" s="10"/>
      <c r="F46" s="10"/>
      <c r="G46" s="10"/>
    </row>
    <row r="47" spans="1:8">
      <c r="A47" s="46" t="s">
        <v>56</v>
      </c>
      <c r="B47" s="46" t="s">
        <v>668</v>
      </c>
      <c r="C47" s="45">
        <v>0.75249999999999995</v>
      </c>
      <c r="D47" s="14"/>
      <c r="E47" s="10"/>
      <c r="F47" s="10"/>
      <c r="G47" s="10"/>
    </row>
    <row r="48" spans="1:8">
      <c r="A48" s="46" t="s">
        <v>58</v>
      </c>
      <c r="B48" s="46" t="s">
        <v>669</v>
      </c>
      <c r="C48" s="45">
        <v>1059028704</v>
      </c>
      <c r="D48" s="1" t="s">
        <v>67</v>
      </c>
      <c r="E48" s="10"/>
      <c r="F48" s="10"/>
      <c r="G48" s="10"/>
    </row>
    <row r="49" spans="1:7">
      <c r="A49" s="46" t="s">
        <v>60</v>
      </c>
      <c r="B49" s="46" t="s">
        <v>670</v>
      </c>
      <c r="C49" s="45" t="s">
        <v>778</v>
      </c>
      <c r="D49" s="18" t="s">
        <v>63</v>
      </c>
      <c r="E49" s="10"/>
      <c r="F49" s="10"/>
      <c r="G49" s="10"/>
    </row>
    <row r="50" spans="1:7">
      <c r="A50" s="46" t="s">
        <v>64</v>
      </c>
      <c r="B50" s="46" t="s">
        <v>671</v>
      </c>
      <c r="C50" s="45" t="s">
        <v>913</v>
      </c>
      <c r="D50" s="18"/>
      <c r="E50" s="10"/>
      <c r="F50" s="10"/>
      <c r="G50" s="10"/>
    </row>
    <row r="51" spans="1:7" ht="31.2">
      <c r="A51" s="46" t="s">
        <v>295</v>
      </c>
      <c r="B51" s="46" t="s">
        <v>918</v>
      </c>
      <c r="C51" s="45" t="s">
        <v>919</v>
      </c>
      <c r="D51" s="45"/>
      <c r="E51" s="10"/>
      <c r="F51" s="10"/>
      <c r="G51" s="10"/>
    </row>
    <row r="52" spans="1:7">
      <c r="A52" s="46" t="s">
        <v>68</v>
      </c>
      <c r="B52" s="46" t="s">
        <v>673</v>
      </c>
      <c r="C52" s="45" t="s">
        <v>348</v>
      </c>
      <c r="D52" s="18" t="s">
        <v>71</v>
      </c>
      <c r="E52" s="10"/>
      <c r="F52" s="10"/>
      <c r="G52" s="10"/>
    </row>
    <row r="53" spans="1:7" ht="31.2">
      <c r="A53" s="46" t="s">
        <v>72</v>
      </c>
      <c r="B53" s="46" t="s">
        <v>674</v>
      </c>
      <c r="C53" s="45" t="s">
        <v>258</v>
      </c>
      <c r="D53" s="18"/>
      <c r="E53" s="10"/>
      <c r="F53" s="10"/>
      <c r="G53" s="10"/>
    </row>
    <row r="54" spans="1:7">
      <c r="A54" s="46" t="s">
        <v>75</v>
      </c>
      <c r="B54" s="46" t="s">
        <v>675</v>
      </c>
      <c r="C54" s="45">
        <v>1557968615</v>
      </c>
      <c r="D54" s="18"/>
      <c r="E54" s="10"/>
      <c r="F54" s="10"/>
      <c r="G54" s="10"/>
    </row>
    <row r="55" spans="1:7">
      <c r="A55" s="46" t="s">
        <v>148</v>
      </c>
      <c r="B55" s="46" t="s">
        <v>149</v>
      </c>
      <c r="C55" s="45">
        <v>40568</v>
      </c>
      <c r="D55" s="18" t="s">
        <v>302</v>
      </c>
      <c r="E55" s="10"/>
      <c r="F55" s="10"/>
      <c r="G55" s="10"/>
    </row>
    <row r="56" spans="1:7">
      <c r="A56" s="46" t="s">
        <v>77</v>
      </c>
      <c r="B56" s="46" t="s">
        <v>787</v>
      </c>
      <c r="C56" s="45" t="s">
        <v>218</v>
      </c>
      <c r="D56" s="18" t="s">
        <v>80</v>
      </c>
      <c r="E56" s="10"/>
      <c r="F56" s="10"/>
      <c r="G56" s="10"/>
    </row>
    <row r="57" spans="1:7" ht="31.2">
      <c r="A57" s="46" t="s">
        <v>91</v>
      </c>
      <c r="B57" s="46" t="s">
        <v>788</v>
      </c>
      <c r="C57" s="45" t="s">
        <v>221</v>
      </c>
      <c r="D57" s="18" t="s">
        <v>94</v>
      </c>
      <c r="E57" s="10"/>
      <c r="F57" s="10"/>
      <c r="G57" s="10"/>
    </row>
    <row r="58" spans="1:7">
      <c r="A58" s="46" t="s">
        <v>81</v>
      </c>
      <c r="B58" s="46" t="s">
        <v>789</v>
      </c>
      <c r="C58" s="45">
        <v>50798</v>
      </c>
      <c r="D58" s="18" t="s">
        <v>83</v>
      </c>
      <c r="E58" s="10"/>
      <c r="F58" s="10"/>
      <c r="G58" s="10"/>
    </row>
    <row r="59" spans="1:7">
      <c r="A59" s="46" t="s">
        <v>95</v>
      </c>
      <c r="B59" s="46" t="s">
        <v>790</v>
      </c>
      <c r="C59" s="45">
        <v>443</v>
      </c>
      <c r="D59" s="18" t="s">
        <v>97</v>
      </c>
      <c r="E59" s="10"/>
      <c r="F59" s="10"/>
      <c r="G59" s="10"/>
    </row>
    <row r="60" spans="1:7">
      <c r="A60" s="46" t="s">
        <v>84</v>
      </c>
      <c r="B60" s="46" t="s">
        <v>85</v>
      </c>
      <c r="C60" s="45" t="s">
        <v>453</v>
      </c>
      <c r="D60" s="18" t="s">
        <v>87</v>
      </c>
      <c r="E60" s="10"/>
      <c r="F60" s="10"/>
      <c r="G60" s="10"/>
    </row>
    <row r="61" spans="1:7">
      <c r="A61" s="46" t="s">
        <v>88</v>
      </c>
      <c r="B61" s="46" t="s">
        <v>89</v>
      </c>
      <c r="C61" s="45" t="s">
        <v>920</v>
      </c>
      <c r="D61" s="18"/>
      <c r="E61" s="10"/>
      <c r="F61" s="10"/>
      <c r="G61" s="10"/>
    </row>
    <row r="62" spans="1:7">
      <c r="A62" s="46" t="s">
        <v>98</v>
      </c>
      <c r="B62" s="46" t="s">
        <v>99</v>
      </c>
      <c r="C62" s="45" t="s">
        <v>921</v>
      </c>
      <c r="D62" s="18" t="s">
        <v>101</v>
      </c>
      <c r="E62" s="10"/>
      <c r="F62" s="10"/>
      <c r="G62" s="10"/>
    </row>
    <row r="63" spans="1:7">
      <c r="A63" s="46" t="s">
        <v>102</v>
      </c>
      <c r="B63" s="46" t="s">
        <v>103</v>
      </c>
      <c r="C63" s="45" t="s">
        <v>922</v>
      </c>
      <c r="D63" s="18"/>
      <c r="E63" s="10"/>
      <c r="F63" s="10"/>
      <c r="G63" s="10"/>
    </row>
    <row r="64" spans="1:7">
      <c r="A64" s="46" t="s">
        <v>116</v>
      </c>
      <c r="B64" s="46" t="s">
        <v>923</v>
      </c>
      <c r="C64" s="45">
        <v>6</v>
      </c>
      <c r="D64" s="18" t="s">
        <v>118</v>
      </c>
      <c r="E64" s="10"/>
      <c r="F64" s="10"/>
      <c r="G64" s="10"/>
    </row>
    <row r="65" spans="1:8">
      <c r="A65" s="46" t="s">
        <v>129</v>
      </c>
      <c r="B65" s="46" t="s">
        <v>924</v>
      </c>
      <c r="C65" s="45" t="s">
        <v>266</v>
      </c>
      <c r="D65" s="18" t="s">
        <v>132</v>
      </c>
      <c r="E65" s="10"/>
      <c r="F65" s="10"/>
      <c r="G65" s="10"/>
    </row>
    <row r="66" spans="1:8" ht="31.2">
      <c r="A66" s="46" t="s">
        <v>793</v>
      </c>
      <c r="B66" s="46" t="s">
        <v>925</v>
      </c>
      <c r="C66" s="45" t="s">
        <v>866</v>
      </c>
      <c r="D66" s="18"/>
      <c r="E66" s="10"/>
      <c r="F66" s="10"/>
      <c r="G66" s="10"/>
    </row>
    <row r="67" spans="1:8" ht="31.2">
      <c r="A67" s="46" t="s">
        <v>123</v>
      </c>
      <c r="B67" s="46" t="s">
        <v>791</v>
      </c>
      <c r="C67" s="45">
        <v>1</v>
      </c>
      <c r="D67" s="18" t="s">
        <v>128</v>
      </c>
      <c r="E67" s="10"/>
      <c r="F67" s="10"/>
      <c r="G67" s="10"/>
    </row>
    <row r="68" spans="1:8" ht="31.2">
      <c r="A68" s="46" t="s">
        <v>113</v>
      </c>
      <c r="B68" s="46" t="s">
        <v>786</v>
      </c>
      <c r="C68" s="45">
        <v>4414</v>
      </c>
      <c r="D68" s="18" t="s">
        <v>115</v>
      </c>
      <c r="E68" s="10"/>
      <c r="F68" s="10"/>
      <c r="G68" s="10"/>
    </row>
    <row r="69" spans="1:8">
      <c r="A69" s="46" t="s">
        <v>159</v>
      </c>
      <c r="B69" s="46" t="s">
        <v>160</v>
      </c>
      <c r="C69" s="45" t="s">
        <v>926</v>
      </c>
      <c r="D69" s="18"/>
      <c r="E69" s="10"/>
      <c r="F69" s="10"/>
      <c r="G69" s="10"/>
    </row>
    <row r="70" spans="1:8">
      <c r="A70" s="46" t="s">
        <v>153</v>
      </c>
      <c r="B70" s="46" t="s">
        <v>927</v>
      </c>
      <c r="C70" s="45" t="s">
        <v>155</v>
      </c>
      <c r="D70" s="18" t="s">
        <v>1105</v>
      </c>
      <c r="E70" s="10"/>
      <c r="F70" s="10"/>
      <c r="G70" s="10"/>
    </row>
    <row r="71" spans="1:8">
      <c r="A71" s="46" t="s">
        <v>150</v>
      </c>
      <c r="B71" s="46" t="s">
        <v>928</v>
      </c>
      <c r="C71" s="45" t="s">
        <v>929</v>
      </c>
      <c r="D71" s="18" t="s">
        <v>496</v>
      </c>
      <c r="E71" s="10"/>
      <c r="F71" s="10"/>
      <c r="G71" s="10"/>
    </row>
    <row r="72" spans="1:8" ht="31.2">
      <c r="A72" s="46" t="s">
        <v>119</v>
      </c>
      <c r="B72" s="46" t="s">
        <v>908</v>
      </c>
      <c r="C72" s="45" t="s">
        <v>909</v>
      </c>
      <c r="D72" s="18" t="s">
        <v>122</v>
      </c>
      <c r="E72" s="10"/>
      <c r="F72" s="10"/>
      <c r="G72" s="10"/>
    </row>
    <row r="73" spans="1:8">
      <c r="A73" s="46" t="s">
        <v>852</v>
      </c>
      <c r="B73" s="46" t="s">
        <v>930</v>
      </c>
      <c r="C73" s="45" t="s">
        <v>931</v>
      </c>
      <c r="D73" s="18" t="s">
        <v>932</v>
      </c>
      <c r="E73" s="10"/>
      <c r="F73" s="10"/>
      <c r="G73" s="10"/>
    </row>
    <row r="74" spans="1:8">
      <c r="A74" s="46" t="s">
        <v>933</v>
      </c>
      <c r="B74" s="46" t="s">
        <v>934</v>
      </c>
      <c r="C74" s="45">
        <v>1962906680</v>
      </c>
      <c r="D74" s="18" t="s">
        <v>352</v>
      </c>
      <c r="E74" s="10"/>
      <c r="F74" s="10"/>
      <c r="G74" s="10"/>
    </row>
    <row r="75" spans="1:8">
      <c r="A75" s="46" t="s">
        <v>768</v>
      </c>
      <c r="B75" s="46" t="s">
        <v>935</v>
      </c>
      <c r="C75" s="45" t="s">
        <v>862</v>
      </c>
      <c r="D75" s="18" t="s">
        <v>771</v>
      </c>
      <c r="E75" s="10"/>
      <c r="F75" s="10"/>
      <c r="G75" s="10"/>
    </row>
    <row r="76" spans="1:8" ht="31.2">
      <c r="A76" s="46" t="s">
        <v>309</v>
      </c>
      <c r="B76" s="46" t="s">
        <v>906</v>
      </c>
      <c r="C76" s="45" t="s">
        <v>936</v>
      </c>
      <c r="D76" s="18" t="s">
        <v>312</v>
      </c>
      <c r="E76" s="10"/>
      <c r="F76" s="10"/>
      <c r="G76" s="10"/>
    </row>
    <row r="77" spans="1:8">
      <c r="A77" s="46" t="s">
        <v>156</v>
      </c>
      <c r="B77" s="46" t="s">
        <v>937</v>
      </c>
      <c r="C77" s="45" t="s">
        <v>938</v>
      </c>
      <c r="D77" s="18"/>
      <c r="E77" s="10"/>
      <c r="F77" s="10"/>
      <c r="G77" s="10"/>
    </row>
    <row r="78" spans="1:8">
      <c r="A78" s="46" t="s">
        <v>939</v>
      </c>
      <c r="B78" s="46" t="s">
        <v>940</v>
      </c>
      <c r="C78" s="45" t="s">
        <v>941</v>
      </c>
      <c r="D78" s="18"/>
      <c r="E78" s="10"/>
      <c r="F78" s="10"/>
      <c r="G78" s="10"/>
    </row>
    <row r="79" spans="1:8">
      <c r="A79" s="46" t="s">
        <v>942</v>
      </c>
      <c r="B79" s="46" t="s">
        <v>943</v>
      </c>
      <c r="C79" s="45" t="s">
        <v>944</v>
      </c>
      <c r="D79" s="18"/>
      <c r="E79" s="10"/>
      <c r="F79" s="10"/>
      <c r="G79" s="10"/>
    </row>
    <row r="80" spans="1:8">
      <c r="A80" s="13"/>
      <c r="B80" s="10"/>
      <c r="C80" s="10"/>
      <c r="D80" s="10"/>
      <c r="E80" s="10"/>
      <c r="F80" s="10"/>
      <c r="G80" s="10"/>
      <c r="H80" s="10"/>
    </row>
    <row r="81" spans="1:8">
      <c r="A81" s="13"/>
      <c r="B81" s="10"/>
      <c r="C81" s="10"/>
      <c r="D81" s="10"/>
      <c r="E81" s="10"/>
      <c r="F81" s="10"/>
      <c r="G81" s="10"/>
      <c r="H81" s="10"/>
    </row>
    <row r="82" spans="1:8">
      <c r="A82" s="113" t="s">
        <v>196</v>
      </c>
      <c r="B82" s="113"/>
      <c r="C82" s="113"/>
      <c r="D82" s="113"/>
      <c r="E82" s="113"/>
      <c r="F82" s="113"/>
      <c r="G82" s="113"/>
      <c r="H82" s="113"/>
    </row>
    <row r="83" spans="1:8">
      <c r="A83" s="14" t="s">
        <v>1432</v>
      </c>
      <c r="B83" s="14" t="s">
        <v>197</v>
      </c>
      <c r="C83" s="14" t="s">
        <v>198</v>
      </c>
      <c r="D83" s="14" t="s">
        <v>199</v>
      </c>
      <c r="E83" s="14" t="s">
        <v>200</v>
      </c>
      <c r="F83" s="14" t="s">
        <v>202</v>
      </c>
      <c r="G83" s="14" t="s">
        <v>21</v>
      </c>
      <c r="H83" s="14" t="s">
        <v>203</v>
      </c>
    </row>
    <row r="84" spans="1:8" ht="31.2">
      <c r="A84" s="61">
        <v>28704</v>
      </c>
      <c r="B84" s="60"/>
      <c r="C84" s="19"/>
      <c r="D84" s="19"/>
      <c r="E84" s="19"/>
      <c r="F84" s="51" t="s">
        <v>1396</v>
      </c>
      <c r="G84" s="52" t="s">
        <v>1397</v>
      </c>
      <c r="H84" s="53"/>
    </row>
    <row r="85" spans="1:8" ht="31.2">
      <c r="A85" s="61">
        <v>28705</v>
      </c>
      <c r="B85" s="60"/>
      <c r="C85" s="53"/>
      <c r="D85" s="53"/>
      <c r="E85" s="53"/>
      <c r="F85" s="51" t="s">
        <v>1398</v>
      </c>
      <c r="G85" s="52" t="s">
        <v>1399</v>
      </c>
      <c r="H85" s="53"/>
    </row>
    <row r="86" spans="1:8" ht="31.2">
      <c r="A86" s="61">
        <v>28706</v>
      </c>
      <c r="B86" s="60"/>
      <c r="C86" s="53"/>
      <c r="D86" s="53"/>
      <c r="E86" s="53"/>
      <c r="F86" s="51" t="s">
        <v>1400</v>
      </c>
      <c r="G86" s="52" t="s">
        <v>947</v>
      </c>
      <c r="H86" s="53"/>
    </row>
    <row r="87" spans="1:8" ht="31.2">
      <c r="A87" s="61">
        <v>28672</v>
      </c>
      <c r="B87" s="53"/>
      <c r="C87" s="53"/>
      <c r="D87" s="53"/>
      <c r="E87" s="53"/>
      <c r="F87" s="51" t="s">
        <v>1401</v>
      </c>
      <c r="G87" s="52" t="s">
        <v>1405</v>
      </c>
      <c r="H87" s="53"/>
    </row>
    <row r="88" spans="1:8" ht="31.2">
      <c r="A88" s="61">
        <v>28673</v>
      </c>
      <c r="B88" s="53"/>
      <c r="C88" s="53"/>
      <c r="D88" s="53"/>
      <c r="E88" s="53"/>
      <c r="F88" s="51" t="s">
        <v>1402</v>
      </c>
      <c r="G88" s="52" t="s">
        <v>1405</v>
      </c>
      <c r="H88" s="53"/>
    </row>
    <row r="89" spans="1:8" ht="31.2">
      <c r="A89" s="61">
        <v>28674</v>
      </c>
      <c r="B89" s="53"/>
      <c r="C89" s="53"/>
      <c r="D89" s="53"/>
      <c r="E89" s="53"/>
      <c r="F89" s="51" t="s">
        <v>1403</v>
      </c>
      <c r="G89" s="52" t="s">
        <v>1405</v>
      </c>
      <c r="H89" s="53"/>
    </row>
    <row r="90" spans="1:8" ht="31.2">
      <c r="A90" s="61">
        <v>28675</v>
      </c>
      <c r="B90" s="53"/>
      <c r="C90" s="53"/>
      <c r="D90" s="53"/>
      <c r="E90" s="53"/>
      <c r="F90" s="51" t="s">
        <v>1404</v>
      </c>
      <c r="G90" s="52" t="s">
        <v>1405</v>
      </c>
      <c r="H90" s="53"/>
    </row>
    <row r="91" spans="1:8" ht="31.2">
      <c r="A91" s="61">
        <v>28676</v>
      </c>
      <c r="B91" s="53"/>
      <c r="C91" s="53"/>
      <c r="D91" s="53"/>
      <c r="E91" s="53"/>
      <c r="F91" s="51" t="s">
        <v>1406</v>
      </c>
      <c r="G91" s="52" t="s">
        <v>1405</v>
      </c>
      <c r="H91" s="53"/>
    </row>
    <row r="92" spans="1:8" ht="31.2">
      <c r="A92" s="61">
        <v>28677</v>
      </c>
      <c r="B92" s="53"/>
      <c r="C92" s="53"/>
      <c r="D92" s="53"/>
      <c r="E92" s="53"/>
      <c r="F92" s="51" t="s">
        <v>1407</v>
      </c>
      <c r="G92" s="52" t="s">
        <v>1405</v>
      </c>
      <c r="H92" s="53"/>
    </row>
    <row r="93" spans="1:8" ht="31.2">
      <c r="A93" s="61">
        <v>28678</v>
      </c>
      <c r="B93" s="53"/>
      <c r="C93" s="53"/>
      <c r="D93" s="53"/>
      <c r="E93" s="53"/>
      <c r="F93" s="51" t="s">
        <v>1408</v>
      </c>
      <c r="G93" s="52" t="s">
        <v>1405</v>
      </c>
      <c r="H93" s="53"/>
    </row>
    <row r="94" spans="1:8" ht="31.2">
      <c r="A94" s="61">
        <v>28720</v>
      </c>
      <c r="B94" s="53"/>
      <c r="C94" s="53"/>
      <c r="D94" s="53"/>
      <c r="E94" s="53"/>
      <c r="F94" s="51" t="s">
        <v>1409</v>
      </c>
      <c r="G94" s="52" t="s">
        <v>1410</v>
      </c>
      <c r="H94" s="53"/>
    </row>
    <row r="95" spans="1:8">
      <c r="A95" s="61">
        <v>28721</v>
      </c>
      <c r="B95" s="53"/>
      <c r="C95" s="53"/>
      <c r="D95" s="53"/>
      <c r="E95" s="53"/>
      <c r="F95" s="51" t="s">
        <v>1411</v>
      </c>
      <c r="G95" s="52" t="s">
        <v>1412</v>
      </c>
      <c r="H95" s="53"/>
    </row>
  </sheetData>
  <mergeCells count="8">
    <mergeCell ref="A34:B34"/>
    <mergeCell ref="A44:D44"/>
    <mergeCell ref="A82:H82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1600-000000000000}">
      <formula1>"Tags Normal,Tags Reversed,Local"</formula1>
    </dataValidation>
    <dataValidation type="list" allowBlank="1" showInputMessage="1" showErrorMessage="1" sqref="B29 B31 B33 B35 B19:B21" xr:uid="{00000000-0002-0000-1600-000001000000}">
      <formula1>"Checked,Unchecked"</formula1>
    </dataValidation>
    <dataValidation type="list" allowBlank="1" showInputMessage="1" showErrorMessage="1" sqref="B25" xr:uid="{00000000-0002-0000-1600-000002000000}">
      <formula1>"N/A,Tags Normal,Tags Reversed,Direct Assignment"</formula1>
    </dataValidation>
    <dataValidation type="list" allowBlank="1" showInputMessage="1" showErrorMessage="1" sqref="B37" xr:uid="{00000000-0002-0000-1600-000003000000}">
      <formula1>"JSON,XML,CEF,LEEF,Key-Value Pairs,Delimited,Limited Structure"</formula1>
    </dataValidation>
    <dataValidation type="list" allowBlank="1" showInputMessage="1" showErrorMessage="1" sqref="B23:B24" xr:uid="{00000000-0002-0000-1600-000004000000}">
      <formula1>"N/A,Tags,Log Message Source"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H89"/>
  <sheetViews>
    <sheetView topLeftCell="A39" zoomScale="102" zoomScaleNormal="102" workbookViewId="0">
      <selection activeCell="B41" sqref="B41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945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946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947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948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327.60000000000002">
      <c r="A41" s="8" t="s">
        <v>48</v>
      </c>
      <c r="B41" s="11" t="s">
        <v>949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21" t="s">
        <v>667</v>
      </c>
      <c r="C46" s="22">
        <v>43600</v>
      </c>
      <c r="D46" s="2"/>
      <c r="E46" s="10"/>
      <c r="F46" s="10"/>
      <c r="G46" s="10"/>
    </row>
    <row r="47" spans="1:8">
      <c r="A47" s="4" t="s">
        <v>56</v>
      </c>
      <c r="B47" s="21" t="s">
        <v>668</v>
      </c>
      <c r="C47" s="23">
        <v>0.74769675925925905</v>
      </c>
      <c r="D47" s="2"/>
      <c r="E47" s="10"/>
      <c r="F47" s="10"/>
      <c r="G47" s="10"/>
    </row>
    <row r="48" spans="1:8">
      <c r="A48" s="4" t="s">
        <v>58</v>
      </c>
      <c r="B48" s="21" t="s">
        <v>669</v>
      </c>
      <c r="C48" s="74" t="s">
        <v>1456</v>
      </c>
      <c r="D48" s="1" t="s">
        <v>67</v>
      </c>
      <c r="E48" s="10"/>
      <c r="F48" s="10"/>
      <c r="G48" s="10"/>
    </row>
    <row r="49" spans="1:7">
      <c r="A49" s="4" t="s">
        <v>60</v>
      </c>
      <c r="B49" s="21" t="s">
        <v>670</v>
      </c>
      <c r="C49" s="24" t="s">
        <v>778</v>
      </c>
      <c r="D49" s="18" t="s">
        <v>63</v>
      </c>
      <c r="E49" s="10"/>
      <c r="F49" s="10"/>
      <c r="G49" s="10"/>
    </row>
    <row r="50" spans="1:7" ht="31.2">
      <c r="A50" s="4" t="s">
        <v>64</v>
      </c>
      <c r="B50" s="21" t="s">
        <v>950</v>
      </c>
      <c r="C50" s="24" t="s">
        <v>951</v>
      </c>
      <c r="D50" s="18"/>
      <c r="E50" s="10"/>
      <c r="F50" s="10"/>
      <c r="G50" s="10"/>
    </row>
    <row r="51" spans="1:7" ht="31.2">
      <c r="A51" s="4" t="s">
        <v>295</v>
      </c>
      <c r="B51" s="21" t="s">
        <v>952</v>
      </c>
      <c r="C51" s="24" t="s">
        <v>953</v>
      </c>
      <c r="D51" s="19"/>
      <c r="E51" s="10"/>
      <c r="F51" s="10"/>
      <c r="G51" s="10"/>
    </row>
    <row r="52" spans="1:7">
      <c r="A52" s="4" t="s">
        <v>68</v>
      </c>
      <c r="B52" s="21" t="s">
        <v>673</v>
      </c>
      <c r="C52" s="24" t="s">
        <v>561</v>
      </c>
      <c r="D52" s="19"/>
      <c r="E52" s="10"/>
      <c r="F52" s="10"/>
      <c r="G52" s="10"/>
    </row>
    <row r="53" spans="1:7" ht="31.2">
      <c r="A53" s="4" t="s">
        <v>72</v>
      </c>
      <c r="B53" s="21" t="s">
        <v>674</v>
      </c>
      <c r="C53" s="24" t="s">
        <v>258</v>
      </c>
      <c r="D53" s="18"/>
      <c r="E53" s="10"/>
      <c r="F53" s="10"/>
      <c r="G53" s="10"/>
    </row>
    <row r="54" spans="1:7">
      <c r="A54" s="4" t="s">
        <v>75</v>
      </c>
      <c r="B54" s="21" t="s">
        <v>675</v>
      </c>
      <c r="C54" s="24">
        <v>1557968201</v>
      </c>
      <c r="D54" s="18"/>
      <c r="E54" s="10"/>
      <c r="F54" s="10"/>
      <c r="G54" s="10"/>
    </row>
    <row r="55" spans="1:7">
      <c r="A55" s="4" t="s">
        <v>954</v>
      </c>
      <c r="B55" s="21" t="s">
        <v>955</v>
      </c>
      <c r="C55" s="24" t="s">
        <v>509</v>
      </c>
      <c r="D55" s="18" t="s">
        <v>71</v>
      </c>
      <c r="E55" s="10"/>
      <c r="F55" s="10"/>
      <c r="G55" s="10"/>
    </row>
    <row r="56" spans="1:7">
      <c r="A56" s="4" t="s">
        <v>77</v>
      </c>
      <c r="B56" s="21" t="s">
        <v>787</v>
      </c>
      <c r="C56" s="24" t="s">
        <v>218</v>
      </c>
      <c r="D56" s="18" t="s">
        <v>80</v>
      </c>
      <c r="E56" s="10"/>
      <c r="F56" s="10"/>
      <c r="G56" s="10"/>
    </row>
    <row r="57" spans="1:7" ht="31.2">
      <c r="A57" s="4" t="s">
        <v>136</v>
      </c>
      <c r="B57" s="21" t="s">
        <v>956</v>
      </c>
      <c r="C57" s="24" t="s">
        <v>138</v>
      </c>
      <c r="D57" s="18"/>
      <c r="E57" s="10"/>
      <c r="F57" s="10"/>
      <c r="G57" s="10"/>
    </row>
    <row r="58" spans="1:7" ht="31.2">
      <c r="A58" s="4" t="s">
        <v>91</v>
      </c>
      <c r="B58" s="21" t="s">
        <v>788</v>
      </c>
      <c r="C58" s="24" t="s">
        <v>221</v>
      </c>
      <c r="D58" s="18" t="s">
        <v>94</v>
      </c>
      <c r="E58" s="10"/>
      <c r="F58" s="10"/>
      <c r="G58" s="10"/>
    </row>
    <row r="59" spans="1:7">
      <c r="A59" s="4" t="s">
        <v>84</v>
      </c>
      <c r="B59" s="21" t="s">
        <v>85</v>
      </c>
      <c r="C59" s="24" t="s">
        <v>453</v>
      </c>
      <c r="D59" s="18" t="s">
        <v>87</v>
      </c>
      <c r="E59" s="10"/>
      <c r="F59" s="10"/>
      <c r="G59" s="10"/>
    </row>
    <row r="60" spans="1:7">
      <c r="A60" s="4" t="s">
        <v>88</v>
      </c>
      <c r="B60" s="21" t="s">
        <v>89</v>
      </c>
      <c r="C60" s="24" t="s">
        <v>920</v>
      </c>
      <c r="D60" s="18"/>
      <c r="E60" s="10"/>
      <c r="F60" s="10"/>
      <c r="G60" s="10"/>
    </row>
    <row r="61" spans="1:7">
      <c r="A61" s="4" t="s">
        <v>98</v>
      </c>
      <c r="B61" s="21" t="s">
        <v>99</v>
      </c>
      <c r="C61" s="24" t="s">
        <v>921</v>
      </c>
      <c r="D61" s="18" t="s">
        <v>101</v>
      </c>
      <c r="E61" s="10"/>
      <c r="F61" s="10"/>
      <c r="G61" s="10"/>
    </row>
    <row r="62" spans="1:7">
      <c r="A62" s="4" t="s">
        <v>102</v>
      </c>
      <c r="B62" s="21" t="s">
        <v>103</v>
      </c>
      <c r="C62" s="24" t="s">
        <v>922</v>
      </c>
      <c r="D62" s="18"/>
      <c r="E62" s="10"/>
      <c r="F62" s="10"/>
      <c r="G62" s="10"/>
    </row>
    <row r="63" spans="1:7" ht="31.2">
      <c r="A63" s="4" t="s">
        <v>113</v>
      </c>
      <c r="B63" s="21" t="s">
        <v>786</v>
      </c>
      <c r="C63" s="24">
        <v>4017</v>
      </c>
      <c r="D63" s="18" t="s">
        <v>115</v>
      </c>
      <c r="E63" s="10"/>
      <c r="F63" s="10"/>
      <c r="G63" s="10"/>
    </row>
    <row r="64" spans="1:7" ht="31.2">
      <c r="A64" s="4" t="s">
        <v>119</v>
      </c>
      <c r="B64" s="21" t="s">
        <v>957</v>
      </c>
      <c r="C64" s="24" t="s">
        <v>958</v>
      </c>
      <c r="D64" s="18" t="s">
        <v>122</v>
      </c>
      <c r="E64" s="10"/>
      <c r="F64" s="10"/>
      <c r="G64" s="10"/>
    </row>
    <row r="65" spans="1:7">
      <c r="A65" s="4" t="s">
        <v>116</v>
      </c>
      <c r="B65" s="21" t="s">
        <v>923</v>
      </c>
      <c r="C65" s="24">
        <v>6</v>
      </c>
      <c r="D65" s="18" t="s">
        <v>118</v>
      </c>
      <c r="E65" s="10"/>
      <c r="F65" s="10"/>
      <c r="G65" s="10"/>
    </row>
    <row r="66" spans="1:7">
      <c r="A66" s="4" t="s">
        <v>129</v>
      </c>
      <c r="B66" s="21" t="s">
        <v>924</v>
      </c>
      <c r="C66" s="24" t="s">
        <v>131</v>
      </c>
      <c r="D66" s="18" t="s">
        <v>132</v>
      </c>
      <c r="E66" s="10"/>
      <c r="F66" s="10"/>
      <c r="G66" s="10"/>
    </row>
    <row r="67" spans="1:7" ht="31.2">
      <c r="A67" s="4" t="s">
        <v>123</v>
      </c>
      <c r="B67" s="21" t="s">
        <v>791</v>
      </c>
      <c r="C67" s="24">
        <v>1</v>
      </c>
      <c r="D67" s="18" t="s">
        <v>128</v>
      </c>
      <c r="E67" s="10"/>
      <c r="F67" s="10"/>
      <c r="G67" s="10"/>
    </row>
    <row r="68" spans="1:7" ht="31.2">
      <c r="A68" s="4" t="s">
        <v>959</v>
      </c>
      <c r="B68" s="21" t="s">
        <v>960</v>
      </c>
      <c r="C68" s="24" t="s">
        <v>961</v>
      </c>
      <c r="D68" s="18" t="s">
        <v>804</v>
      </c>
      <c r="E68" s="10"/>
      <c r="F68" s="10"/>
      <c r="G68" s="10"/>
    </row>
    <row r="69" spans="1:7">
      <c r="A69" s="4" t="s">
        <v>81</v>
      </c>
      <c r="B69" s="21" t="s">
        <v>789</v>
      </c>
      <c r="C69" s="24">
        <v>46810</v>
      </c>
      <c r="D69" s="18" t="s">
        <v>83</v>
      </c>
      <c r="E69" s="10"/>
      <c r="F69" s="10"/>
      <c r="G69" s="10"/>
    </row>
    <row r="70" spans="1:7">
      <c r="A70" s="4" t="s">
        <v>95</v>
      </c>
      <c r="B70" s="21" t="s">
        <v>790</v>
      </c>
      <c r="C70" s="24">
        <v>80</v>
      </c>
      <c r="D70" s="18" t="s">
        <v>97</v>
      </c>
      <c r="E70" s="10"/>
      <c r="F70" s="10"/>
      <c r="G70" s="10"/>
    </row>
    <row r="71" spans="1:7">
      <c r="A71" s="4" t="s">
        <v>852</v>
      </c>
      <c r="B71" s="21" t="s">
        <v>930</v>
      </c>
      <c r="C71" s="24" t="s">
        <v>221</v>
      </c>
      <c r="D71" s="18" t="s">
        <v>932</v>
      </c>
      <c r="E71" s="10"/>
      <c r="F71" s="10"/>
      <c r="G71" s="10"/>
    </row>
    <row r="72" spans="1:7">
      <c r="A72" s="4" t="s">
        <v>768</v>
      </c>
      <c r="B72" s="21" t="s">
        <v>935</v>
      </c>
      <c r="C72" s="24" t="s">
        <v>962</v>
      </c>
      <c r="D72" s="18"/>
      <c r="E72" s="10"/>
      <c r="F72" s="10"/>
      <c r="G72" s="10"/>
    </row>
    <row r="73" spans="1:7" ht="31.2">
      <c r="A73" s="4" t="s">
        <v>793</v>
      </c>
      <c r="B73" s="21" t="s">
        <v>963</v>
      </c>
      <c r="C73" s="24" t="s">
        <v>795</v>
      </c>
      <c r="D73" s="18"/>
      <c r="E73" s="10"/>
      <c r="F73" s="10"/>
      <c r="G73" s="10"/>
    </row>
    <row r="74" spans="1:7">
      <c r="A74" s="4" t="s">
        <v>964</v>
      </c>
      <c r="B74" s="21" t="s">
        <v>965</v>
      </c>
      <c r="C74" s="24">
        <v>23305</v>
      </c>
      <c r="D74" s="18" t="s">
        <v>813</v>
      </c>
      <c r="E74" s="10"/>
      <c r="F74" s="10"/>
      <c r="G74" s="10"/>
    </row>
    <row r="75" spans="1:7">
      <c r="A75" s="4" t="s">
        <v>373</v>
      </c>
      <c r="B75" s="21" t="s">
        <v>966</v>
      </c>
      <c r="C75" s="24" t="s">
        <v>967</v>
      </c>
      <c r="D75" s="18"/>
      <c r="E75" s="10"/>
      <c r="F75" s="10"/>
      <c r="G75" s="10"/>
    </row>
    <row r="76" spans="1:7" ht="31.2">
      <c r="A76" s="4" t="s">
        <v>808</v>
      </c>
      <c r="B76" s="21" t="s">
        <v>968</v>
      </c>
      <c r="C76" s="24" t="s">
        <v>969</v>
      </c>
      <c r="D76" s="18" t="s">
        <v>771</v>
      </c>
      <c r="E76" s="10"/>
      <c r="F76" s="10"/>
      <c r="G76" s="10"/>
    </row>
    <row r="77" spans="1:7">
      <c r="A77" s="4" t="s">
        <v>933</v>
      </c>
      <c r="B77" s="21" t="s">
        <v>934</v>
      </c>
      <c r="C77" s="24">
        <v>582633933</v>
      </c>
      <c r="D77" s="18"/>
      <c r="E77" s="10"/>
      <c r="F77" s="10"/>
      <c r="G77" s="10"/>
    </row>
    <row r="78" spans="1:7" ht="46.8">
      <c r="A78" s="4" t="s">
        <v>309</v>
      </c>
      <c r="B78" s="21" t="s">
        <v>906</v>
      </c>
      <c r="C78" s="24" t="s">
        <v>970</v>
      </c>
      <c r="D78" s="18" t="s">
        <v>312</v>
      </c>
      <c r="E78" s="10"/>
      <c r="F78" s="10"/>
      <c r="G78" s="10"/>
    </row>
    <row r="79" spans="1:7">
      <c r="A79" s="4" t="s">
        <v>270</v>
      </c>
      <c r="B79" s="21" t="s">
        <v>971</v>
      </c>
      <c r="C79" s="24">
        <v>50</v>
      </c>
      <c r="D79" s="18"/>
      <c r="E79" s="10"/>
      <c r="F79" s="10"/>
      <c r="G79" s="10"/>
    </row>
    <row r="80" spans="1:7" ht="31.2">
      <c r="A80" s="4" t="s">
        <v>272</v>
      </c>
      <c r="B80" s="21" t="s">
        <v>972</v>
      </c>
      <c r="C80" s="24">
        <v>4096</v>
      </c>
      <c r="D80" s="18"/>
      <c r="E80" s="10"/>
      <c r="F80" s="10"/>
      <c r="G80" s="10"/>
    </row>
    <row r="81" spans="1:8">
      <c r="A81" s="4" t="s">
        <v>828</v>
      </c>
      <c r="B81" s="21" t="s">
        <v>973</v>
      </c>
      <c r="C81" s="24" t="s">
        <v>509</v>
      </c>
      <c r="D81" s="18"/>
      <c r="E81" s="10"/>
      <c r="F81" s="10"/>
      <c r="G81" s="10"/>
    </row>
    <row r="82" spans="1:8">
      <c r="A82" s="13"/>
      <c r="B82" s="10"/>
      <c r="C82" s="10"/>
      <c r="D82" s="10"/>
      <c r="E82" s="10"/>
      <c r="F82" s="10"/>
      <c r="G82" s="10"/>
      <c r="H82" s="10"/>
    </row>
    <row r="83" spans="1:8">
      <c r="A83" s="13"/>
      <c r="B83" s="10"/>
      <c r="C83" s="10"/>
      <c r="D83" s="10"/>
      <c r="E83" s="10"/>
      <c r="F83" s="10"/>
      <c r="G83" s="10"/>
      <c r="H83" s="10"/>
    </row>
    <row r="84" spans="1:8">
      <c r="A84" s="113" t="s">
        <v>196</v>
      </c>
      <c r="B84" s="113"/>
      <c r="C84" s="113"/>
      <c r="D84" s="113"/>
      <c r="E84" s="113"/>
      <c r="F84" s="113"/>
      <c r="G84" s="113"/>
      <c r="H84" s="113"/>
    </row>
    <row r="85" spans="1:8">
      <c r="A85" s="14" t="s">
        <v>1432</v>
      </c>
      <c r="B85" s="14" t="s">
        <v>197</v>
      </c>
      <c r="C85" s="14" t="s">
        <v>198</v>
      </c>
      <c r="D85" s="14" t="s">
        <v>199</v>
      </c>
      <c r="E85" s="14" t="s">
        <v>200</v>
      </c>
      <c r="F85" s="14" t="s">
        <v>202</v>
      </c>
      <c r="G85" s="14" t="s">
        <v>21</v>
      </c>
      <c r="H85" s="14" t="s">
        <v>203</v>
      </c>
    </row>
    <row r="86" spans="1:8">
      <c r="A86" s="19">
        <v>16385</v>
      </c>
      <c r="B86" s="53"/>
      <c r="C86" s="53"/>
      <c r="D86" s="53"/>
      <c r="E86" s="53"/>
      <c r="F86" s="51" t="s">
        <v>1413</v>
      </c>
      <c r="G86" s="75" t="s">
        <v>1415</v>
      </c>
      <c r="H86" s="53"/>
    </row>
    <row r="87" spans="1:8">
      <c r="A87" s="19">
        <v>16384</v>
      </c>
      <c r="B87" s="53"/>
      <c r="C87" s="53"/>
      <c r="D87" s="53"/>
      <c r="E87" s="53"/>
      <c r="F87" s="51" t="s">
        <v>1414</v>
      </c>
      <c r="G87" s="62" t="s">
        <v>1415</v>
      </c>
      <c r="H87" s="53"/>
    </row>
    <row r="88" spans="1:8">
      <c r="A88" s="19">
        <v>16386</v>
      </c>
      <c r="B88" s="53"/>
      <c r="C88" s="53"/>
      <c r="D88" s="53"/>
      <c r="E88" s="53"/>
      <c r="F88" s="51" t="s">
        <v>1416</v>
      </c>
      <c r="G88" s="62" t="s">
        <v>1415</v>
      </c>
      <c r="H88" s="53"/>
    </row>
    <row r="89" spans="1:8">
      <c r="A89" s="19">
        <v>16399</v>
      </c>
      <c r="B89" s="53"/>
      <c r="C89" s="53"/>
      <c r="D89" s="53"/>
      <c r="E89" s="53"/>
      <c r="F89" s="51" t="s">
        <v>1417</v>
      </c>
      <c r="G89" s="62" t="s">
        <v>1415</v>
      </c>
      <c r="H89" s="53"/>
    </row>
  </sheetData>
  <mergeCells count="8">
    <mergeCell ref="A34:B34"/>
    <mergeCell ref="A44:D44"/>
    <mergeCell ref="A84:H84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1700-000000000000}">
      <formula1>"Tags Normal,Tags Reversed,Local"</formula1>
    </dataValidation>
    <dataValidation type="list" allowBlank="1" showInputMessage="1" showErrorMessage="1" sqref="B29 B31 B33 B35 B19:B21" xr:uid="{00000000-0002-0000-1700-000001000000}">
      <formula1>"Checked,Unchecked"</formula1>
    </dataValidation>
    <dataValidation type="list" allowBlank="1" showInputMessage="1" showErrorMessage="1" sqref="B25" xr:uid="{00000000-0002-0000-1700-000002000000}">
      <formula1>"N/A,Tags Normal,Tags Reversed,Direct Assignment"</formula1>
    </dataValidation>
    <dataValidation type="list" allowBlank="1" showInputMessage="1" showErrorMessage="1" sqref="B37" xr:uid="{00000000-0002-0000-1700-000003000000}">
      <formula1>"JSON,XML,CEF,LEEF,Key-Value Pairs,Delimited,Limited Structure"</formula1>
    </dataValidation>
    <dataValidation type="list" allowBlank="1" showInputMessage="1" showErrorMessage="1" sqref="B23:B24" xr:uid="{00000000-0002-0000-1700-000004000000}">
      <formula1>"N/A,Tags,Log Message Source"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H84"/>
  <sheetViews>
    <sheetView topLeftCell="A68" workbookViewId="0">
      <selection activeCell="D74" sqref="D74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974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975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976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49.6">
      <c r="A41" s="8" t="s">
        <v>48</v>
      </c>
      <c r="B41" s="11" t="s">
        <v>977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68" t="s">
        <v>667</v>
      </c>
      <c r="C46" s="27">
        <v>43598</v>
      </c>
      <c r="D46" s="2"/>
      <c r="E46" s="10"/>
      <c r="F46" s="10"/>
      <c r="G46" s="10"/>
    </row>
    <row r="47" spans="1:8">
      <c r="A47" s="46" t="s">
        <v>56</v>
      </c>
      <c r="B47" s="68" t="s">
        <v>668</v>
      </c>
      <c r="C47" s="28">
        <v>0.71248842592592598</v>
      </c>
      <c r="D47" s="14"/>
      <c r="E47" s="10"/>
      <c r="F47" s="10"/>
      <c r="G47" s="10"/>
    </row>
    <row r="48" spans="1:8">
      <c r="A48" s="46" t="s">
        <v>58</v>
      </c>
      <c r="B48" s="68" t="s">
        <v>669</v>
      </c>
      <c r="C48" s="73" t="s">
        <v>1457</v>
      </c>
      <c r="D48" s="5" t="s">
        <v>67</v>
      </c>
      <c r="E48" s="10"/>
      <c r="F48" s="10"/>
      <c r="G48" s="10"/>
    </row>
    <row r="49" spans="1:7">
      <c r="A49" s="46" t="s">
        <v>60</v>
      </c>
      <c r="B49" s="68" t="s">
        <v>670</v>
      </c>
      <c r="C49" s="41" t="s">
        <v>778</v>
      </c>
      <c r="D49" s="18" t="s">
        <v>63</v>
      </c>
      <c r="E49" s="10"/>
      <c r="F49" s="10"/>
      <c r="G49" s="10"/>
    </row>
    <row r="50" spans="1:7">
      <c r="A50" s="46" t="s">
        <v>64</v>
      </c>
      <c r="B50" s="68" t="s">
        <v>671</v>
      </c>
      <c r="C50" s="41" t="s">
        <v>978</v>
      </c>
      <c r="D50" s="18"/>
      <c r="E50" s="10"/>
      <c r="F50" s="10"/>
      <c r="G50" s="10"/>
    </row>
    <row r="51" spans="1:7">
      <c r="A51" s="46" t="s">
        <v>295</v>
      </c>
      <c r="B51" s="68" t="s">
        <v>979</v>
      </c>
      <c r="C51" s="41" t="s">
        <v>978</v>
      </c>
      <c r="D51" s="45"/>
      <c r="E51" s="10"/>
      <c r="F51" s="10"/>
      <c r="G51" s="10"/>
    </row>
    <row r="52" spans="1:7">
      <c r="A52" s="46" t="s">
        <v>68</v>
      </c>
      <c r="B52" s="68" t="s">
        <v>673</v>
      </c>
      <c r="C52" s="41" t="s">
        <v>561</v>
      </c>
      <c r="D52" s="45"/>
      <c r="E52" s="10"/>
      <c r="F52" s="10"/>
      <c r="G52" s="10"/>
    </row>
    <row r="53" spans="1:7" ht="31.2">
      <c r="A53" s="46" t="s">
        <v>72</v>
      </c>
      <c r="B53" s="68" t="s">
        <v>674</v>
      </c>
      <c r="C53" s="41" t="s">
        <v>74</v>
      </c>
      <c r="D53" s="14"/>
      <c r="E53" s="10"/>
      <c r="F53" s="10"/>
      <c r="G53" s="10"/>
    </row>
    <row r="54" spans="1:7">
      <c r="A54" s="46" t="s">
        <v>75</v>
      </c>
      <c r="B54" s="68" t="s">
        <v>675</v>
      </c>
      <c r="C54" s="24">
        <v>1.5577923594618601E+18</v>
      </c>
      <c r="D54" s="14"/>
      <c r="E54" s="10"/>
      <c r="F54" s="10"/>
      <c r="G54" s="10"/>
    </row>
    <row r="55" spans="1:7">
      <c r="A55" s="46" t="s">
        <v>954</v>
      </c>
      <c r="B55" s="68" t="s">
        <v>980</v>
      </c>
      <c r="C55" s="41" t="s">
        <v>509</v>
      </c>
      <c r="D55" s="45" t="s">
        <v>71</v>
      </c>
      <c r="E55" s="10"/>
      <c r="F55" s="10"/>
      <c r="G55" s="10"/>
    </row>
    <row r="56" spans="1:7">
      <c r="A56" s="46" t="s">
        <v>77</v>
      </c>
      <c r="B56" s="68" t="s">
        <v>787</v>
      </c>
      <c r="C56" s="41" t="s">
        <v>218</v>
      </c>
      <c r="D56" s="45" t="s">
        <v>80</v>
      </c>
      <c r="E56" s="10"/>
      <c r="F56" s="10"/>
      <c r="G56" s="10"/>
    </row>
    <row r="57" spans="1:7" ht="31.2">
      <c r="A57" s="46" t="s">
        <v>136</v>
      </c>
      <c r="B57" s="68" t="s">
        <v>956</v>
      </c>
      <c r="C57" s="41" t="s">
        <v>138</v>
      </c>
      <c r="D57" s="45"/>
      <c r="E57" s="10"/>
      <c r="F57" s="10"/>
      <c r="G57" s="10"/>
    </row>
    <row r="58" spans="1:7" ht="31.2">
      <c r="A58" s="46" t="s">
        <v>91</v>
      </c>
      <c r="B58" s="68" t="s">
        <v>788</v>
      </c>
      <c r="C58" s="41" t="s">
        <v>221</v>
      </c>
      <c r="D58" s="45" t="s">
        <v>94</v>
      </c>
      <c r="E58" s="10"/>
      <c r="F58" s="10"/>
      <c r="G58" s="10"/>
    </row>
    <row r="59" spans="1:7">
      <c r="A59" s="46" t="s">
        <v>84</v>
      </c>
      <c r="B59" s="68" t="s">
        <v>85</v>
      </c>
      <c r="C59" s="41" t="s">
        <v>86</v>
      </c>
      <c r="D59" s="45" t="s">
        <v>87</v>
      </c>
      <c r="E59" s="10"/>
      <c r="F59" s="10"/>
      <c r="G59" s="10"/>
    </row>
    <row r="60" spans="1:7">
      <c r="A60" s="46" t="s">
        <v>88</v>
      </c>
      <c r="B60" s="68" t="s">
        <v>89</v>
      </c>
      <c r="C60" s="41" t="s">
        <v>90</v>
      </c>
      <c r="D60" s="45"/>
      <c r="E60" s="10"/>
      <c r="F60" s="10"/>
      <c r="G60" s="10"/>
    </row>
    <row r="61" spans="1:7" ht="31.2">
      <c r="A61" s="46" t="s">
        <v>113</v>
      </c>
      <c r="B61" s="68" t="s">
        <v>786</v>
      </c>
      <c r="C61" s="41">
        <v>0</v>
      </c>
      <c r="D61" s="45" t="s">
        <v>115</v>
      </c>
      <c r="E61" s="10"/>
      <c r="F61" s="10"/>
      <c r="G61" s="10"/>
    </row>
    <row r="62" spans="1:7" ht="31.2">
      <c r="A62" s="46" t="s">
        <v>119</v>
      </c>
      <c r="B62" s="68" t="s">
        <v>981</v>
      </c>
      <c r="C62" s="41" t="s">
        <v>982</v>
      </c>
      <c r="D62" s="45" t="s">
        <v>122</v>
      </c>
      <c r="E62" s="10"/>
      <c r="F62" s="10"/>
      <c r="G62" s="10"/>
    </row>
    <row r="63" spans="1:7">
      <c r="A63" s="46" t="s">
        <v>116</v>
      </c>
      <c r="B63" s="68" t="s">
        <v>983</v>
      </c>
      <c r="C63" s="41">
        <v>1</v>
      </c>
      <c r="D63" s="45" t="s">
        <v>118</v>
      </c>
      <c r="E63" s="10"/>
      <c r="F63" s="10"/>
      <c r="G63" s="10"/>
    </row>
    <row r="64" spans="1:7">
      <c r="A64" s="46" t="s">
        <v>129</v>
      </c>
      <c r="B64" s="68" t="s">
        <v>924</v>
      </c>
      <c r="C64" s="41" t="s">
        <v>984</v>
      </c>
      <c r="D64" s="45" t="s">
        <v>132</v>
      </c>
      <c r="E64" s="10"/>
      <c r="F64" s="10"/>
      <c r="G64" s="10"/>
    </row>
    <row r="65" spans="1:8">
      <c r="A65" s="46" t="s">
        <v>487</v>
      </c>
      <c r="B65" s="68" t="s">
        <v>985</v>
      </c>
      <c r="C65" s="41">
        <v>1</v>
      </c>
      <c r="D65" s="45" t="s">
        <v>181</v>
      </c>
      <c r="E65" s="10"/>
      <c r="F65" s="10"/>
      <c r="G65" s="10"/>
    </row>
    <row r="66" spans="1:8">
      <c r="A66" s="46" t="s">
        <v>959</v>
      </c>
      <c r="B66" s="68" t="s">
        <v>960</v>
      </c>
      <c r="C66" s="41" t="s">
        <v>986</v>
      </c>
      <c r="D66" s="45" t="s">
        <v>804</v>
      </c>
      <c r="E66" s="10"/>
      <c r="F66" s="10"/>
      <c r="G66" s="10"/>
    </row>
    <row r="67" spans="1:8">
      <c r="A67" s="46" t="s">
        <v>987</v>
      </c>
      <c r="B67" s="68" t="s">
        <v>988</v>
      </c>
      <c r="C67" s="41" t="s">
        <v>989</v>
      </c>
      <c r="D67" s="45"/>
      <c r="E67" s="10"/>
      <c r="F67" s="10"/>
      <c r="G67" s="10"/>
    </row>
    <row r="68" spans="1:8">
      <c r="A68" s="46" t="s">
        <v>990</v>
      </c>
      <c r="B68" s="68" t="s">
        <v>991</v>
      </c>
      <c r="C68" s="41" t="s">
        <v>992</v>
      </c>
      <c r="D68" s="45"/>
      <c r="E68" s="10"/>
      <c r="F68" s="10"/>
      <c r="G68" s="10"/>
    </row>
    <row r="69" spans="1:8">
      <c r="A69" s="46" t="s">
        <v>993</v>
      </c>
      <c r="B69" s="68" t="s">
        <v>994</v>
      </c>
      <c r="C69" s="41" t="s">
        <v>995</v>
      </c>
      <c r="D69" s="45"/>
      <c r="E69" s="10"/>
      <c r="F69" s="10"/>
      <c r="G69" s="10"/>
    </row>
    <row r="70" spans="1:8">
      <c r="A70" s="46" t="s">
        <v>964</v>
      </c>
      <c r="B70" s="68" t="s">
        <v>965</v>
      </c>
      <c r="C70" s="41">
        <v>16777316</v>
      </c>
      <c r="D70" s="45" t="s">
        <v>813</v>
      </c>
      <c r="E70" s="10"/>
      <c r="F70" s="10"/>
      <c r="G70" s="10"/>
    </row>
    <row r="71" spans="1:8" ht="31.2">
      <c r="A71" s="46" t="s">
        <v>123</v>
      </c>
      <c r="B71" s="68" t="s">
        <v>791</v>
      </c>
      <c r="C71" s="41">
        <v>1</v>
      </c>
      <c r="D71" s="45"/>
      <c r="E71" s="10"/>
      <c r="F71" s="10"/>
      <c r="G71" s="10"/>
    </row>
    <row r="72" spans="1:8" ht="31.2">
      <c r="A72" s="46" t="s">
        <v>125</v>
      </c>
      <c r="B72" s="68" t="s">
        <v>996</v>
      </c>
      <c r="C72" s="41" t="s">
        <v>997</v>
      </c>
      <c r="D72" s="45" t="s">
        <v>128</v>
      </c>
      <c r="E72" s="10"/>
      <c r="F72" s="10"/>
      <c r="G72" s="10"/>
    </row>
    <row r="73" spans="1:8" ht="31.2">
      <c r="A73" s="46" t="s">
        <v>808</v>
      </c>
      <c r="B73" s="68" t="s">
        <v>968</v>
      </c>
      <c r="C73" s="41" t="s">
        <v>998</v>
      </c>
      <c r="D73" s="45" t="s">
        <v>771</v>
      </c>
      <c r="E73" s="10"/>
      <c r="F73" s="10"/>
      <c r="G73" s="10"/>
    </row>
    <row r="74" spans="1:8" ht="31.2">
      <c r="A74" s="46" t="s">
        <v>309</v>
      </c>
      <c r="B74" s="68" t="s">
        <v>906</v>
      </c>
      <c r="C74" s="41" t="s">
        <v>999</v>
      </c>
      <c r="D74" s="45" t="s">
        <v>312</v>
      </c>
      <c r="E74" s="10"/>
      <c r="F74" s="10"/>
      <c r="G74" s="10"/>
    </row>
    <row r="75" spans="1:8">
      <c r="A75" s="46" t="s">
        <v>270</v>
      </c>
      <c r="B75" s="68" t="s">
        <v>971</v>
      </c>
      <c r="C75" s="41">
        <v>50</v>
      </c>
      <c r="D75" s="14"/>
      <c r="E75" s="10"/>
      <c r="F75" s="10"/>
      <c r="G75" s="10"/>
    </row>
    <row r="76" spans="1:8" ht="31.2">
      <c r="A76" s="46" t="s">
        <v>272</v>
      </c>
      <c r="B76" s="68" t="s">
        <v>972</v>
      </c>
      <c r="C76" s="41">
        <v>4096</v>
      </c>
      <c r="D76" s="14"/>
      <c r="E76" s="10"/>
      <c r="F76" s="10"/>
      <c r="G76" s="10"/>
    </row>
    <row r="77" spans="1:8">
      <c r="A77" s="46" t="s">
        <v>828</v>
      </c>
      <c r="B77" s="68" t="s">
        <v>973</v>
      </c>
      <c r="C77" s="41" t="s">
        <v>509</v>
      </c>
      <c r="D77" s="14"/>
      <c r="E77" s="10"/>
      <c r="F77" s="10"/>
      <c r="G77" s="10"/>
    </row>
    <row r="78" spans="1:8">
      <c r="A78" s="13"/>
      <c r="B78" s="10"/>
      <c r="C78" s="10"/>
      <c r="D78" s="10"/>
      <c r="E78" s="10"/>
      <c r="F78" s="10"/>
      <c r="G78" s="10"/>
      <c r="H78" s="10"/>
    </row>
    <row r="79" spans="1:8">
      <c r="A79" s="13"/>
      <c r="B79" s="10"/>
      <c r="C79" s="10"/>
      <c r="D79" s="10"/>
      <c r="E79" s="10"/>
      <c r="F79" s="10"/>
      <c r="G79" s="10"/>
      <c r="H79" s="10"/>
    </row>
    <row r="80" spans="1:8">
      <c r="A80" s="113" t="s">
        <v>196</v>
      </c>
      <c r="B80" s="113"/>
      <c r="C80" s="113"/>
      <c r="D80" s="113"/>
      <c r="E80" s="113"/>
      <c r="F80" s="113"/>
      <c r="G80" s="113"/>
      <c r="H80" s="113"/>
    </row>
    <row r="81" spans="1:8">
      <c r="A81" s="14" t="s">
        <v>1432</v>
      </c>
      <c r="B81" s="14" t="s">
        <v>197</v>
      </c>
      <c r="C81" s="14" t="s">
        <v>198</v>
      </c>
      <c r="D81" s="14" t="s">
        <v>199</v>
      </c>
      <c r="E81" s="14" t="s">
        <v>200</v>
      </c>
      <c r="F81" s="14" t="s">
        <v>202</v>
      </c>
      <c r="G81" s="14" t="s">
        <v>21</v>
      </c>
      <c r="H81" s="14" t="s">
        <v>203</v>
      </c>
    </row>
    <row r="82" spans="1:8">
      <c r="A82" s="66">
        <v>18432</v>
      </c>
      <c r="B82" s="63"/>
      <c r="C82" s="19"/>
      <c r="D82" s="19"/>
      <c r="E82" s="19"/>
      <c r="F82" s="64" t="s">
        <v>1418</v>
      </c>
      <c r="G82" s="62" t="s">
        <v>1415</v>
      </c>
      <c r="H82" s="19"/>
    </row>
    <row r="83" spans="1:8">
      <c r="A83" s="66">
        <v>18433</v>
      </c>
      <c r="B83" s="65"/>
      <c r="C83" s="65"/>
      <c r="D83" s="65"/>
      <c r="E83" s="65"/>
      <c r="F83" s="64" t="s">
        <v>1419</v>
      </c>
      <c r="G83" s="62" t="s">
        <v>1415</v>
      </c>
      <c r="H83" s="65"/>
    </row>
    <row r="84" spans="1:8">
      <c r="A84" s="66">
        <v>18434</v>
      </c>
      <c r="B84" s="65"/>
      <c r="C84" s="65"/>
      <c r="D84" s="65"/>
      <c r="E84" s="65"/>
      <c r="F84" s="64" t="s">
        <v>1420</v>
      </c>
      <c r="G84" s="62" t="s">
        <v>1415</v>
      </c>
      <c r="H84" s="65"/>
    </row>
  </sheetData>
  <mergeCells count="8">
    <mergeCell ref="A34:B34"/>
    <mergeCell ref="A44:D44"/>
    <mergeCell ref="A80:H80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1800-000000000000}">
      <formula1>"Tags Normal,Tags Reversed,Local"</formula1>
    </dataValidation>
    <dataValidation type="list" allowBlank="1" showInputMessage="1" showErrorMessage="1" sqref="B29 B31 B33 B35 B19:B21" xr:uid="{00000000-0002-0000-1800-000001000000}">
      <formula1>"Checked,Unchecked"</formula1>
    </dataValidation>
    <dataValidation type="list" allowBlank="1" showInputMessage="1" showErrorMessage="1" sqref="B25" xr:uid="{00000000-0002-0000-1800-000002000000}">
      <formula1>"N/A,Tags Normal,Tags Reversed,Direct Assignment"</formula1>
    </dataValidation>
    <dataValidation type="list" allowBlank="1" showInputMessage="1" showErrorMessage="1" sqref="B37" xr:uid="{00000000-0002-0000-1800-000003000000}">
      <formula1>"JSON,XML,CEF,LEEF,Key-Value Pairs,Delimited,Limited Structure"</formula1>
    </dataValidation>
    <dataValidation type="list" allowBlank="1" showInputMessage="1" showErrorMessage="1" sqref="B23:B24" xr:uid="{00000000-0002-0000-1800-000004000000}">
      <formula1>"N/A,Tags,Log Message Source"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H90"/>
  <sheetViews>
    <sheetView topLeftCell="C78" workbookViewId="0">
      <selection activeCell="B61" sqref="B61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1000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1001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1002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1003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312">
      <c r="A41" s="8" t="s">
        <v>48</v>
      </c>
      <c r="B41" s="11" t="s">
        <v>1004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667</v>
      </c>
      <c r="C46" s="22">
        <v>43600</v>
      </c>
      <c r="D46" s="14"/>
      <c r="E46" s="10"/>
      <c r="F46" s="10"/>
      <c r="G46" s="10"/>
    </row>
    <row r="47" spans="1:8">
      <c r="A47" s="46" t="s">
        <v>56</v>
      </c>
      <c r="B47" s="46" t="s">
        <v>668</v>
      </c>
      <c r="C47" s="23" t="s">
        <v>1458</v>
      </c>
      <c r="D47" s="14"/>
      <c r="E47" s="10"/>
      <c r="F47" s="10"/>
      <c r="G47" s="10"/>
    </row>
    <row r="48" spans="1:8">
      <c r="A48" s="46" t="s">
        <v>58</v>
      </c>
      <c r="B48" s="46" t="s">
        <v>669</v>
      </c>
      <c r="C48" s="74" t="s">
        <v>1459</v>
      </c>
      <c r="D48" s="5" t="s">
        <v>67</v>
      </c>
      <c r="E48" s="10"/>
      <c r="F48" s="10"/>
      <c r="G48" s="10"/>
    </row>
    <row r="49" spans="1:7">
      <c r="A49" s="46" t="s">
        <v>60</v>
      </c>
      <c r="B49" s="46" t="s">
        <v>670</v>
      </c>
      <c r="C49" s="41" t="s">
        <v>778</v>
      </c>
      <c r="D49" s="18" t="s">
        <v>63</v>
      </c>
      <c r="E49" s="10"/>
      <c r="F49" s="10"/>
      <c r="G49" s="10"/>
    </row>
    <row r="50" spans="1:7">
      <c r="A50" s="46" t="s">
        <v>64</v>
      </c>
      <c r="B50" s="46" t="s">
        <v>671</v>
      </c>
      <c r="C50" s="41" t="s">
        <v>1005</v>
      </c>
      <c r="D50" s="18"/>
      <c r="E50" s="10"/>
      <c r="F50" s="10"/>
      <c r="G50" s="10"/>
    </row>
    <row r="51" spans="1:7">
      <c r="A51" s="46" t="s">
        <v>295</v>
      </c>
      <c r="B51" s="46" t="s">
        <v>1006</v>
      </c>
      <c r="C51" s="41" t="s">
        <v>1005</v>
      </c>
      <c r="D51" s="45"/>
      <c r="E51" s="10"/>
      <c r="F51" s="10"/>
      <c r="G51" s="10"/>
    </row>
    <row r="52" spans="1:7">
      <c r="A52" s="46" t="s">
        <v>68</v>
      </c>
      <c r="B52" s="46" t="s">
        <v>673</v>
      </c>
      <c r="C52" s="41" t="s">
        <v>385</v>
      </c>
      <c r="D52" s="45"/>
      <c r="E52" s="10"/>
      <c r="F52" s="10"/>
      <c r="G52" s="10"/>
    </row>
    <row r="53" spans="1:7" ht="31.2">
      <c r="A53" s="46" t="s">
        <v>72</v>
      </c>
      <c r="B53" s="46" t="s">
        <v>674</v>
      </c>
      <c r="C53" s="41" t="s">
        <v>258</v>
      </c>
      <c r="D53" s="14"/>
      <c r="E53" s="10"/>
      <c r="F53" s="10"/>
      <c r="G53" s="10"/>
    </row>
    <row r="54" spans="1:7">
      <c r="A54" s="46" t="s">
        <v>75</v>
      </c>
      <c r="B54" s="46" t="s">
        <v>675</v>
      </c>
      <c r="C54" s="41">
        <v>1557967528</v>
      </c>
      <c r="D54" s="14"/>
      <c r="E54" s="10"/>
      <c r="F54" s="10"/>
      <c r="G54" s="10"/>
    </row>
    <row r="55" spans="1:7">
      <c r="A55" s="46" t="s">
        <v>1007</v>
      </c>
      <c r="B55" s="46" t="s">
        <v>1008</v>
      </c>
      <c r="C55" s="41">
        <v>1</v>
      </c>
      <c r="D55" s="14"/>
      <c r="E55" s="10"/>
      <c r="F55" s="10"/>
      <c r="G55" s="10"/>
    </row>
    <row r="56" spans="1:7" ht="31.2">
      <c r="A56" s="46" t="s">
        <v>1009</v>
      </c>
      <c r="B56" s="46" t="s">
        <v>1010</v>
      </c>
      <c r="C56" s="41" t="s">
        <v>1011</v>
      </c>
      <c r="D56" s="14"/>
      <c r="E56" s="10"/>
      <c r="F56" s="10"/>
      <c r="G56" s="10"/>
    </row>
    <row r="57" spans="1:7">
      <c r="A57" s="46" t="s">
        <v>1012</v>
      </c>
      <c r="B57" s="46" t="s">
        <v>1013</v>
      </c>
      <c r="C57" s="41" t="s">
        <v>1014</v>
      </c>
      <c r="D57" s="14"/>
      <c r="E57" s="10"/>
      <c r="F57" s="10"/>
      <c r="G57" s="10"/>
    </row>
    <row r="58" spans="1:7">
      <c r="A58" s="46" t="s">
        <v>1015</v>
      </c>
      <c r="B58" s="46" t="s">
        <v>1016</v>
      </c>
      <c r="C58" s="41" t="s">
        <v>1017</v>
      </c>
      <c r="D58" s="14"/>
      <c r="E58" s="10"/>
      <c r="F58" s="10"/>
      <c r="G58" s="10"/>
    </row>
    <row r="59" spans="1:7">
      <c r="A59" s="46" t="s">
        <v>954</v>
      </c>
      <c r="B59" s="46" t="s">
        <v>1018</v>
      </c>
      <c r="C59" s="41" t="s">
        <v>938</v>
      </c>
      <c r="D59" s="45" t="s">
        <v>71</v>
      </c>
      <c r="E59" s="10"/>
      <c r="F59" s="10"/>
      <c r="G59" s="10"/>
    </row>
    <row r="60" spans="1:7" ht="31.2">
      <c r="A60" s="46" t="s">
        <v>123</v>
      </c>
      <c r="B60" s="46" t="s">
        <v>791</v>
      </c>
      <c r="C60" s="41">
        <v>1</v>
      </c>
      <c r="D60" s="45" t="s">
        <v>128</v>
      </c>
      <c r="E60" s="10"/>
      <c r="F60" s="10"/>
      <c r="G60" s="10"/>
    </row>
    <row r="61" spans="1:7" ht="31.2">
      <c r="A61" s="46" t="s">
        <v>113</v>
      </c>
      <c r="B61" s="46" t="s">
        <v>786</v>
      </c>
      <c r="C61" s="41">
        <v>3423</v>
      </c>
      <c r="D61" s="45" t="s">
        <v>115</v>
      </c>
      <c r="E61" s="10"/>
      <c r="F61" s="10"/>
      <c r="G61" s="10"/>
    </row>
    <row r="62" spans="1:7">
      <c r="A62" s="46" t="s">
        <v>1019</v>
      </c>
      <c r="B62" s="46" t="s">
        <v>1020</v>
      </c>
      <c r="C62" s="41">
        <v>1740880646</v>
      </c>
      <c r="D62" s="45"/>
      <c r="E62" s="10"/>
      <c r="F62" s="10"/>
      <c r="G62" s="10"/>
    </row>
    <row r="63" spans="1:7">
      <c r="A63" s="46" t="s">
        <v>1021</v>
      </c>
      <c r="B63" s="46" t="s">
        <v>1022</v>
      </c>
      <c r="C63" s="41">
        <v>0</v>
      </c>
      <c r="D63" s="45"/>
      <c r="E63" s="10"/>
      <c r="F63" s="10"/>
      <c r="G63" s="10"/>
    </row>
    <row r="64" spans="1:7">
      <c r="A64" s="46" t="s">
        <v>77</v>
      </c>
      <c r="B64" s="46" t="s">
        <v>787</v>
      </c>
      <c r="C64" s="41" t="s">
        <v>218</v>
      </c>
      <c r="D64" s="45" t="s">
        <v>80</v>
      </c>
      <c r="E64" s="10"/>
      <c r="F64" s="10"/>
      <c r="G64" s="10"/>
    </row>
    <row r="65" spans="1:7">
      <c r="A65" s="46" t="s">
        <v>81</v>
      </c>
      <c r="B65" s="46" t="s">
        <v>1023</v>
      </c>
      <c r="C65" s="41">
        <v>50354</v>
      </c>
      <c r="D65" s="45" t="s">
        <v>83</v>
      </c>
      <c r="E65" s="10"/>
      <c r="F65" s="10"/>
      <c r="G65" s="10"/>
    </row>
    <row r="66" spans="1:7">
      <c r="A66" s="46" t="s">
        <v>84</v>
      </c>
      <c r="B66" s="46" t="s">
        <v>85</v>
      </c>
      <c r="C66" s="41" t="s">
        <v>453</v>
      </c>
      <c r="D66" s="45" t="s">
        <v>87</v>
      </c>
      <c r="E66" s="10"/>
      <c r="F66" s="10"/>
      <c r="G66" s="10"/>
    </row>
    <row r="67" spans="1:7">
      <c r="A67" s="46" t="s">
        <v>88</v>
      </c>
      <c r="B67" s="46" t="s">
        <v>89</v>
      </c>
      <c r="C67" s="41" t="s">
        <v>920</v>
      </c>
      <c r="D67" s="45"/>
      <c r="E67" s="10"/>
      <c r="F67" s="10"/>
      <c r="G67" s="10"/>
    </row>
    <row r="68" spans="1:7" ht="31.2">
      <c r="A68" s="46" t="s">
        <v>91</v>
      </c>
      <c r="B68" s="46" t="s">
        <v>788</v>
      </c>
      <c r="C68" s="41" t="s">
        <v>221</v>
      </c>
      <c r="D68" s="45" t="s">
        <v>94</v>
      </c>
      <c r="E68" s="10"/>
      <c r="F68" s="10"/>
      <c r="G68" s="10"/>
    </row>
    <row r="69" spans="1:7">
      <c r="A69" s="46" t="s">
        <v>95</v>
      </c>
      <c r="B69" s="46" t="s">
        <v>1024</v>
      </c>
      <c r="C69" s="41">
        <v>443</v>
      </c>
      <c r="D69" s="45" t="s">
        <v>97</v>
      </c>
      <c r="E69" s="10"/>
      <c r="F69" s="10"/>
      <c r="G69" s="10"/>
    </row>
    <row r="70" spans="1:7">
      <c r="A70" s="46" t="s">
        <v>98</v>
      </c>
      <c r="B70" s="46" t="s">
        <v>99</v>
      </c>
      <c r="C70" s="41" t="s">
        <v>921</v>
      </c>
      <c r="D70" s="45" t="s">
        <v>101</v>
      </c>
      <c r="E70" s="10"/>
      <c r="F70" s="10"/>
      <c r="G70" s="10"/>
    </row>
    <row r="71" spans="1:7">
      <c r="A71" s="46" t="s">
        <v>102</v>
      </c>
      <c r="B71" s="46" t="s">
        <v>103</v>
      </c>
      <c r="C71" s="41" t="s">
        <v>922</v>
      </c>
      <c r="D71" s="45"/>
      <c r="E71" s="10"/>
      <c r="F71" s="10"/>
      <c r="G71" s="10"/>
    </row>
    <row r="72" spans="1:7">
      <c r="A72" s="46" t="s">
        <v>116</v>
      </c>
      <c r="B72" s="46" t="s">
        <v>923</v>
      </c>
      <c r="C72" s="41">
        <v>6</v>
      </c>
      <c r="D72" s="45" t="s">
        <v>118</v>
      </c>
      <c r="E72" s="10"/>
      <c r="F72" s="10"/>
      <c r="G72" s="10"/>
    </row>
    <row r="73" spans="1:7">
      <c r="A73" s="46" t="s">
        <v>129</v>
      </c>
      <c r="B73" s="46" t="s">
        <v>924</v>
      </c>
      <c r="C73" s="41" t="s">
        <v>266</v>
      </c>
      <c r="D73" s="45" t="s">
        <v>132</v>
      </c>
      <c r="E73" s="10"/>
      <c r="F73" s="10"/>
      <c r="G73" s="10"/>
    </row>
    <row r="74" spans="1:7">
      <c r="A74" s="46" t="s">
        <v>1025</v>
      </c>
      <c r="B74" s="46" t="s">
        <v>1026</v>
      </c>
      <c r="C74" s="41" t="s">
        <v>1027</v>
      </c>
      <c r="D74" s="45" t="s">
        <v>298</v>
      </c>
      <c r="E74" s="10"/>
      <c r="F74" s="10"/>
      <c r="G74" s="10"/>
    </row>
    <row r="75" spans="1:7">
      <c r="A75" s="46" t="s">
        <v>793</v>
      </c>
      <c r="B75" s="46" t="s">
        <v>1028</v>
      </c>
      <c r="C75" s="41" t="s">
        <v>795</v>
      </c>
      <c r="D75" s="45"/>
      <c r="E75" s="10"/>
      <c r="F75" s="10"/>
      <c r="G75" s="10"/>
    </row>
    <row r="76" spans="1:7" ht="31.2">
      <c r="A76" s="46" t="s">
        <v>119</v>
      </c>
      <c r="B76" s="46" t="s">
        <v>1029</v>
      </c>
      <c r="C76" s="41" t="s">
        <v>1030</v>
      </c>
      <c r="D76" s="45" t="s">
        <v>122</v>
      </c>
      <c r="E76" s="10"/>
      <c r="F76" s="10"/>
      <c r="G76" s="10"/>
    </row>
    <row r="77" spans="1:7" ht="31.2">
      <c r="A77" s="46" t="s">
        <v>852</v>
      </c>
      <c r="B77" s="46" t="s">
        <v>1031</v>
      </c>
      <c r="C77" s="41" t="s">
        <v>1032</v>
      </c>
      <c r="D77" s="18" t="s">
        <v>932</v>
      </c>
      <c r="E77" s="10"/>
      <c r="F77" s="10"/>
      <c r="G77" s="10"/>
    </row>
    <row r="78" spans="1:7" ht="62.4">
      <c r="A78" s="46" t="s">
        <v>768</v>
      </c>
      <c r="B78" s="46" t="s">
        <v>1033</v>
      </c>
      <c r="C78" s="41" t="s">
        <v>1034</v>
      </c>
      <c r="D78" s="45" t="s">
        <v>771</v>
      </c>
      <c r="E78" s="10"/>
      <c r="F78" s="10"/>
      <c r="G78" s="10"/>
    </row>
    <row r="79" spans="1:7" ht="31.2">
      <c r="A79" s="46" t="s">
        <v>817</v>
      </c>
      <c r="B79" s="46" t="s">
        <v>1035</v>
      </c>
      <c r="C79" s="41" t="s">
        <v>1036</v>
      </c>
      <c r="D79" s="45" t="s">
        <v>820</v>
      </c>
      <c r="E79" s="10"/>
      <c r="F79" s="10"/>
      <c r="G79" s="10"/>
    </row>
    <row r="80" spans="1:7">
      <c r="A80" s="46" t="s">
        <v>796</v>
      </c>
      <c r="B80" s="46" t="s">
        <v>1037</v>
      </c>
      <c r="C80" s="41" t="s">
        <v>1038</v>
      </c>
      <c r="D80" s="45" t="s">
        <v>302</v>
      </c>
      <c r="E80" s="10"/>
      <c r="F80" s="10"/>
      <c r="G80" s="10"/>
    </row>
    <row r="81" spans="1:8">
      <c r="A81" s="46" t="s">
        <v>1039</v>
      </c>
      <c r="B81" s="46" t="s">
        <v>1040</v>
      </c>
      <c r="C81" s="41">
        <v>16360</v>
      </c>
      <c r="D81" s="45"/>
      <c r="E81" s="10"/>
      <c r="F81" s="10"/>
      <c r="G81" s="10"/>
    </row>
    <row r="82" spans="1:8">
      <c r="A82" s="46" t="s">
        <v>373</v>
      </c>
      <c r="B82" s="46" t="s">
        <v>1041</v>
      </c>
      <c r="C82" s="41" t="s">
        <v>1042</v>
      </c>
      <c r="D82" s="14"/>
      <c r="E82" s="10"/>
      <c r="F82" s="10"/>
      <c r="G82" s="10"/>
    </row>
    <row r="83" spans="1:8">
      <c r="A83" s="13"/>
      <c r="B83" s="10"/>
      <c r="C83" s="10"/>
      <c r="D83" s="10"/>
      <c r="E83" s="10"/>
      <c r="F83" s="10"/>
      <c r="G83" s="10"/>
      <c r="H83" s="10"/>
    </row>
    <row r="84" spans="1:8">
      <c r="A84" s="13"/>
      <c r="B84" s="10"/>
      <c r="C84" s="10"/>
      <c r="D84" s="10"/>
      <c r="E84" s="10"/>
      <c r="F84" s="10"/>
      <c r="G84" s="10"/>
      <c r="H84" s="10"/>
    </row>
    <row r="85" spans="1:8">
      <c r="A85" s="113" t="s">
        <v>196</v>
      </c>
      <c r="B85" s="113"/>
      <c r="C85" s="113"/>
      <c r="D85" s="113"/>
      <c r="E85" s="113"/>
      <c r="F85" s="113"/>
      <c r="G85" s="113"/>
      <c r="H85" s="113"/>
    </row>
    <row r="86" spans="1:8">
      <c r="A86" s="14" t="s">
        <v>1432</v>
      </c>
      <c r="B86" s="14" t="s">
        <v>197</v>
      </c>
      <c r="C86" s="14" t="s">
        <v>198</v>
      </c>
      <c r="D86" s="14" t="s">
        <v>199</v>
      </c>
      <c r="E86" s="14" t="s">
        <v>200</v>
      </c>
      <c r="F86" s="14" t="s">
        <v>202</v>
      </c>
      <c r="G86" s="14" t="s">
        <v>21</v>
      </c>
      <c r="H86" s="14" t="s">
        <v>203</v>
      </c>
    </row>
    <row r="87" spans="1:8">
      <c r="A87" s="61">
        <v>24577</v>
      </c>
      <c r="B87" s="19"/>
      <c r="C87" s="19"/>
      <c r="D87" s="19"/>
      <c r="E87" s="19"/>
      <c r="F87" s="51" t="s">
        <v>1421</v>
      </c>
      <c r="G87" s="52" t="s">
        <v>1422</v>
      </c>
      <c r="H87" s="4"/>
    </row>
    <row r="88" spans="1:8">
      <c r="A88" s="61">
        <v>24576</v>
      </c>
      <c r="B88" s="53"/>
      <c r="C88" s="53"/>
      <c r="D88" s="53"/>
      <c r="E88" s="53"/>
      <c r="F88" s="51" t="s">
        <v>1423</v>
      </c>
      <c r="G88" s="52" t="s">
        <v>1422</v>
      </c>
      <c r="H88" s="26"/>
    </row>
    <row r="89" spans="1:8" ht="31.2">
      <c r="A89" s="61">
        <v>24578</v>
      </c>
      <c r="B89" s="53"/>
      <c r="C89" s="53"/>
      <c r="D89" s="53"/>
      <c r="E89" s="53"/>
      <c r="F89" s="51" t="s">
        <v>1424</v>
      </c>
      <c r="G89" s="52" t="s">
        <v>1002</v>
      </c>
      <c r="H89" s="26"/>
    </row>
    <row r="90" spans="1:8">
      <c r="A90" s="61">
        <v>24579</v>
      </c>
      <c r="B90" s="53"/>
      <c r="C90" s="53"/>
      <c r="D90" s="53"/>
      <c r="E90" s="53"/>
      <c r="F90" s="51" t="s">
        <v>1425</v>
      </c>
      <c r="G90" s="52" t="s">
        <v>1133</v>
      </c>
      <c r="H90" s="26"/>
    </row>
  </sheetData>
  <mergeCells count="8">
    <mergeCell ref="A34:B34"/>
    <mergeCell ref="A44:D44"/>
    <mergeCell ref="A85:H85"/>
    <mergeCell ref="A11:B11"/>
    <mergeCell ref="A18:B18"/>
    <mergeCell ref="A28:B28"/>
    <mergeCell ref="A30:B30"/>
    <mergeCell ref="A32:B32"/>
  </mergeCells>
  <phoneticPr fontId="19" type="noConversion"/>
  <dataValidations count="5">
    <dataValidation type="list" allowBlank="1" showInputMessage="1" showErrorMessage="1" sqref="B22" xr:uid="{00000000-0002-0000-1900-000000000000}">
      <formula1>"Tags Normal,Tags Reversed,Local"</formula1>
    </dataValidation>
    <dataValidation type="list" allowBlank="1" showInputMessage="1" showErrorMessage="1" sqref="B29 B31 B33 B35 B19:B21" xr:uid="{00000000-0002-0000-1900-000001000000}">
      <formula1>"Checked,Unchecked"</formula1>
    </dataValidation>
    <dataValidation type="list" allowBlank="1" showInputMessage="1" showErrorMessage="1" sqref="B25" xr:uid="{00000000-0002-0000-1900-000002000000}">
      <formula1>"N/A,Tags Normal,Tags Reversed,Direct Assignment"</formula1>
    </dataValidation>
    <dataValidation type="list" allowBlank="1" showInputMessage="1" showErrorMessage="1" sqref="B37" xr:uid="{00000000-0002-0000-1900-000003000000}">
      <formula1>"JSON,XML,CEF,LEEF,Key-Value Pairs,Delimited,Limited Structure"</formula1>
    </dataValidation>
    <dataValidation type="list" allowBlank="1" showInputMessage="1" showErrorMessage="1" sqref="B23:B24" xr:uid="{00000000-0002-0000-1900-000004000000}">
      <formula1>"N/A,Tags,Log Message Source"</formula1>
    </dataValidation>
  </dataValidations>
  <hyperlinks>
    <hyperlink ref="C77" r:id="rId1" xr:uid="{F6FC238E-198C-4FCA-BC18-C98BCD0C303A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H80"/>
  <sheetViews>
    <sheetView topLeftCell="C58" workbookViewId="0">
      <selection activeCell="D67" sqref="D6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1043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1044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1045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1046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202.8">
      <c r="A41" s="8" t="s">
        <v>48</v>
      </c>
      <c r="B41" s="11" t="s">
        <v>1047</v>
      </c>
      <c r="C41" s="10"/>
      <c r="D41" s="10"/>
      <c r="E41" s="10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4" t="s">
        <v>55</v>
      </c>
      <c r="C46" s="25" t="s">
        <v>1048</v>
      </c>
      <c r="D46" s="14"/>
      <c r="E46" s="10"/>
      <c r="F46" s="10"/>
      <c r="G46" s="10"/>
    </row>
    <row r="47" spans="1:8">
      <c r="A47" s="4" t="s">
        <v>56</v>
      </c>
      <c r="B47" s="4" t="s">
        <v>57</v>
      </c>
      <c r="C47" s="17">
        <v>0.67936342592592602</v>
      </c>
      <c r="D47" s="14"/>
      <c r="E47" s="10"/>
      <c r="F47" s="10"/>
      <c r="G47" s="10"/>
    </row>
    <row r="48" spans="1:8">
      <c r="A48" s="4" t="s">
        <v>58</v>
      </c>
      <c r="B48" s="4" t="s">
        <v>59</v>
      </c>
      <c r="C48" s="5">
        <v>1601061010</v>
      </c>
      <c r="D48" s="19" t="s">
        <v>67</v>
      </c>
      <c r="E48" s="10"/>
      <c r="F48" s="10"/>
      <c r="G48" s="10"/>
    </row>
    <row r="49" spans="1:7">
      <c r="A49" s="4" t="s">
        <v>60</v>
      </c>
      <c r="B49" s="4" t="s">
        <v>61</v>
      </c>
      <c r="C49" s="5" t="s">
        <v>778</v>
      </c>
      <c r="D49" s="18" t="s">
        <v>63</v>
      </c>
      <c r="E49" s="10"/>
      <c r="F49" s="10"/>
      <c r="G49" s="10"/>
    </row>
    <row r="50" spans="1:7">
      <c r="A50" s="4" t="s">
        <v>64</v>
      </c>
      <c r="B50" s="4" t="s">
        <v>65</v>
      </c>
      <c r="C50" s="5" t="s">
        <v>362</v>
      </c>
      <c r="D50" s="19"/>
      <c r="E50" s="10"/>
      <c r="F50" s="10"/>
      <c r="G50" s="10"/>
    </row>
    <row r="51" spans="1:7">
      <c r="A51" s="4" t="s">
        <v>295</v>
      </c>
      <c r="B51" s="4" t="s">
        <v>1049</v>
      </c>
      <c r="C51" s="5" t="s">
        <v>1050</v>
      </c>
      <c r="D51" s="14"/>
      <c r="E51" s="10"/>
      <c r="F51" s="10"/>
      <c r="G51" s="10"/>
    </row>
    <row r="52" spans="1:7">
      <c r="A52" s="4" t="s">
        <v>68</v>
      </c>
      <c r="B52" s="4" t="s">
        <v>69</v>
      </c>
      <c r="C52" s="5" t="s">
        <v>385</v>
      </c>
      <c r="D52" s="19" t="s">
        <v>71</v>
      </c>
      <c r="E52" s="10"/>
      <c r="F52" s="10"/>
      <c r="G52" s="10"/>
    </row>
    <row r="53" spans="1:7">
      <c r="A53" s="4" t="s">
        <v>72</v>
      </c>
      <c r="B53" s="4" t="s">
        <v>73</v>
      </c>
      <c r="C53" s="5" t="s">
        <v>74</v>
      </c>
      <c r="D53" s="14"/>
      <c r="E53" s="10"/>
      <c r="F53" s="10"/>
      <c r="G53" s="10"/>
    </row>
    <row r="54" spans="1:7">
      <c r="A54" s="4" t="s">
        <v>75</v>
      </c>
      <c r="B54" s="4" t="s">
        <v>76</v>
      </c>
      <c r="C54" s="5">
        <v>1557962296</v>
      </c>
      <c r="D54" s="14"/>
      <c r="E54" s="10"/>
      <c r="F54" s="10"/>
      <c r="G54" s="10"/>
    </row>
    <row r="55" spans="1:7" ht="31.2">
      <c r="A55" s="4" t="s">
        <v>123</v>
      </c>
      <c r="B55" s="4" t="s">
        <v>791</v>
      </c>
      <c r="C55" s="5">
        <v>1</v>
      </c>
      <c r="D55" s="19" t="s">
        <v>128</v>
      </c>
      <c r="E55" s="10"/>
      <c r="F55" s="10"/>
      <c r="G55" s="10"/>
    </row>
    <row r="56" spans="1:7" ht="31.2">
      <c r="A56" s="4" t="s">
        <v>113</v>
      </c>
      <c r="B56" s="4" t="s">
        <v>786</v>
      </c>
      <c r="C56" s="5">
        <v>344</v>
      </c>
      <c r="D56" s="19" t="s">
        <v>115</v>
      </c>
      <c r="E56" s="10"/>
      <c r="F56" s="10"/>
      <c r="G56" s="10"/>
    </row>
    <row r="57" spans="1:7">
      <c r="A57" s="4" t="s">
        <v>373</v>
      </c>
      <c r="B57" s="4" t="s">
        <v>1051</v>
      </c>
      <c r="C57" s="5" t="s">
        <v>1052</v>
      </c>
      <c r="D57" s="19"/>
      <c r="E57" s="10"/>
      <c r="F57" s="10"/>
      <c r="G57" s="10"/>
    </row>
    <row r="58" spans="1:7">
      <c r="A58" s="4" t="s">
        <v>77</v>
      </c>
      <c r="B58" s="4" t="s">
        <v>78</v>
      </c>
      <c r="C58" s="5" t="s">
        <v>1053</v>
      </c>
      <c r="D58" s="19" t="s">
        <v>80</v>
      </c>
      <c r="E58" s="10"/>
      <c r="F58" s="10"/>
      <c r="G58" s="10"/>
    </row>
    <row r="59" spans="1:7">
      <c r="A59" s="4" t="s">
        <v>81</v>
      </c>
      <c r="B59" s="4" t="s">
        <v>82</v>
      </c>
      <c r="C59" s="5">
        <v>43580</v>
      </c>
      <c r="D59" s="19" t="s">
        <v>83</v>
      </c>
      <c r="E59" s="10"/>
      <c r="F59" s="10"/>
      <c r="G59" s="10"/>
    </row>
    <row r="60" spans="1:7">
      <c r="A60" s="4" t="s">
        <v>91</v>
      </c>
      <c r="B60" s="4" t="s">
        <v>92</v>
      </c>
      <c r="C60" s="5" t="s">
        <v>1054</v>
      </c>
      <c r="D60" s="19" t="s">
        <v>94</v>
      </c>
      <c r="E60" s="10"/>
      <c r="F60" s="10"/>
      <c r="G60" s="10"/>
    </row>
    <row r="61" spans="1:7">
      <c r="A61" s="4" t="s">
        <v>95</v>
      </c>
      <c r="B61" s="4" t="s">
        <v>96</v>
      </c>
      <c r="C61" s="5">
        <v>22</v>
      </c>
      <c r="D61" s="19" t="s">
        <v>97</v>
      </c>
      <c r="E61" s="10"/>
      <c r="F61" s="10"/>
      <c r="G61" s="10"/>
    </row>
    <row r="62" spans="1:7">
      <c r="A62" s="4" t="s">
        <v>84</v>
      </c>
      <c r="B62" s="4" t="s">
        <v>85</v>
      </c>
      <c r="C62" s="5" t="s">
        <v>1055</v>
      </c>
      <c r="D62" s="19" t="s">
        <v>87</v>
      </c>
      <c r="E62" s="10"/>
      <c r="F62" s="10"/>
      <c r="G62" s="10"/>
    </row>
    <row r="63" spans="1:7">
      <c r="A63" s="4" t="s">
        <v>88</v>
      </c>
      <c r="B63" s="4" t="s">
        <v>89</v>
      </c>
      <c r="C63" s="5" t="s">
        <v>90</v>
      </c>
      <c r="D63" s="14"/>
      <c r="E63" s="10"/>
      <c r="F63" s="10"/>
      <c r="G63" s="10"/>
    </row>
    <row r="64" spans="1:7">
      <c r="A64" s="4" t="s">
        <v>98</v>
      </c>
      <c r="B64" s="4" t="s">
        <v>99</v>
      </c>
      <c r="C64" s="5" t="s">
        <v>1056</v>
      </c>
      <c r="D64" s="19" t="s">
        <v>101</v>
      </c>
      <c r="E64" s="10"/>
      <c r="F64" s="10"/>
      <c r="G64" s="10"/>
    </row>
    <row r="65" spans="1:8">
      <c r="A65" s="4" t="s">
        <v>102</v>
      </c>
      <c r="B65" s="4" t="s">
        <v>103</v>
      </c>
      <c r="C65" s="5" t="s">
        <v>90</v>
      </c>
      <c r="D65" s="14"/>
      <c r="E65" s="10"/>
      <c r="F65" s="10"/>
      <c r="G65" s="10"/>
    </row>
    <row r="66" spans="1:8">
      <c r="A66" s="4" t="s">
        <v>116</v>
      </c>
      <c r="B66" s="4" t="s">
        <v>117</v>
      </c>
      <c r="C66" s="5">
        <v>6</v>
      </c>
      <c r="D66" s="19" t="s">
        <v>118</v>
      </c>
      <c r="E66" s="10"/>
      <c r="F66" s="10"/>
      <c r="G66" s="10"/>
    </row>
    <row r="67" spans="1:8">
      <c r="A67" s="4" t="s">
        <v>119</v>
      </c>
      <c r="B67" s="4" t="s">
        <v>120</v>
      </c>
      <c r="C67" s="5" t="s">
        <v>784</v>
      </c>
      <c r="D67" s="19" t="s">
        <v>122</v>
      </c>
      <c r="E67" s="10"/>
      <c r="F67" s="10"/>
      <c r="G67" s="10"/>
    </row>
    <row r="68" spans="1:8">
      <c r="A68" s="4" t="s">
        <v>793</v>
      </c>
      <c r="B68" s="4" t="s">
        <v>1028</v>
      </c>
      <c r="C68" s="5" t="s">
        <v>866</v>
      </c>
      <c r="D68" s="14"/>
      <c r="E68" s="10"/>
      <c r="F68" s="10"/>
      <c r="G68" s="10"/>
    </row>
    <row r="69" spans="1:8">
      <c r="A69" s="4" t="s">
        <v>366</v>
      </c>
      <c r="B69" s="4" t="s">
        <v>1057</v>
      </c>
      <c r="C69" s="5" t="s">
        <v>258</v>
      </c>
      <c r="D69" s="19" t="s">
        <v>356</v>
      </c>
      <c r="E69" s="10"/>
      <c r="F69" s="10"/>
      <c r="G69" s="10"/>
    </row>
    <row r="70" spans="1:8">
      <c r="A70" s="4" t="s">
        <v>1058</v>
      </c>
      <c r="B70" s="4"/>
      <c r="C70" s="5" t="s">
        <v>1059</v>
      </c>
      <c r="D70" s="19" t="s">
        <v>302</v>
      </c>
      <c r="E70" s="10"/>
      <c r="F70" s="10"/>
      <c r="G70" s="10"/>
    </row>
    <row r="71" spans="1:8">
      <c r="A71" s="13"/>
      <c r="B71" s="10"/>
      <c r="C71" s="10"/>
      <c r="D71" s="10"/>
      <c r="E71" s="10"/>
      <c r="F71" s="10"/>
      <c r="G71" s="10"/>
      <c r="H71" s="10"/>
    </row>
    <row r="72" spans="1:8">
      <c r="A72" s="13"/>
      <c r="B72" s="10"/>
      <c r="C72" s="10"/>
      <c r="D72" s="10"/>
      <c r="E72" s="10"/>
      <c r="F72" s="10"/>
      <c r="G72" s="10"/>
      <c r="H72" s="10"/>
    </row>
    <row r="73" spans="1:8">
      <c r="A73" s="113" t="s">
        <v>196</v>
      </c>
      <c r="B73" s="113"/>
      <c r="C73" s="113"/>
      <c r="D73" s="113"/>
      <c r="E73" s="113"/>
      <c r="F73" s="113"/>
      <c r="G73" s="113"/>
      <c r="H73" s="113"/>
    </row>
    <row r="74" spans="1:8">
      <c r="A74" s="14" t="s">
        <v>197</v>
      </c>
      <c r="B74" s="14" t="s">
        <v>198</v>
      </c>
      <c r="C74" s="14" t="s">
        <v>199</v>
      </c>
      <c r="D74" s="14" t="s">
        <v>200</v>
      </c>
      <c r="E74" s="14" t="s">
        <v>201</v>
      </c>
      <c r="F74" s="14" t="s">
        <v>202</v>
      </c>
      <c r="G74" s="14" t="s">
        <v>21</v>
      </c>
      <c r="H74" s="14" t="s">
        <v>203</v>
      </c>
    </row>
    <row r="75" spans="1:8">
      <c r="A75" s="19">
        <v>61000</v>
      </c>
      <c r="B75" s="19"/>
      <c r="C75" s="19"/>
      <c r="D75" s="19"/>
      <c r="E75" s="19"/>
      <c r="F75" s="82" t="s">
        <v>1733</v>
      </c>
      <c r="G75" s="4" t="s">
        <v>1283</v>
      </c>
      <c r="H75" s="4"/>
    </row>
    <row r="76" spans="1:8">
      <c r="A76" s="19">
        <v>61001</v>
      </c>
      <c r="B76" s="26"/>
      <c r="C76" s="26"/>
      <c r="D76" s="26"/>
      <c r="E76" s="26"/>
      <c r="F76" s="82" t="s">
        <v>1734</v>
      </c>
      <c r="G76" s="4" t="s">
        <v>1283</v>
      </c>
      <c r="H76" s="26"/>
    </row>
    <row r="77" spans="1:8">
      <c r="A77" s="19">
        <v>61002</v>
      </c>
      <c r="B77" s="26"/>
      <c r="C77" s="26"/>
      <c r="D77" s="26"/>
      <c r="E77" s="26"/>
      <c r="F77" s="82" t="s">
        <v>1735</v>
      </c>
      <c r="G77" s="26" t="s">
        <v>1736</v>
      </c>
      <c r="H77" s="26"/>
    </row>
    <row r="78" spans="1:8">
      <c r="A78" s="19">
        <v>61003</v>
      </c>
      <c r="B78" s="26"/>
      <c r="C78" s="26"/>
      <c r="D78" s="26"/>
      <c r="E78" s="26"/>
      <c r="F78" s="82" t="s">
        <v>1737</v>
      </c>
      <c r="G78" s="26" t="s">
        <v>1736</v>
      </c>
      <c r="H78" s="26"/>
    </row>
    <row r="79" spans="1:8">
      <c r="A79" s="19">
        <v>61010</v>
      </c>
      <c r="B79" s="26"/>
      <c r="C79" s="26"/>
      <c r="D79" s="26"/>
      <c r="E79" s="26"/>
      <c r="F79" s="82" t="s">
        <v>1738</v>
      </c>
      <c r="G79" s="4" t="s">
        <v>1283</v>
      </c>
      <c r="H79" s="26"/>
    </row>
    <row r="80" spans="1:8">
      <c r="A80" s="19">
        <v>61011</v>
      </c>
      <c r="B80" s="26"/>
      <c r="C80" s="26"/>
      <c r="D80" s="26"/>
      <c r="E80" s="26"/>
      <c r="F80" s="82" t="s">
        <v>1739</v>
      </c>
      <c r="G80" s="4" t="s">
        <v>1740</v>
      </c>
      <c r="H80" s="26"/>
    </row>
  </sheetData>
  <mergeCells count="8">
    <mergeCell ref="A34:B34"/>
    <mergeCell ref="A44:D44"/>
    <mergeCell ref="A73:H73"/>
    <mergeCell ref="A11:B11"/>
    <mergeCell ref="A18:B18"/>
    <mergeCell ref="A28:B28"/>
    <mergeCell ref="A30:B30"/>
    <mergeCell ref="A32:B32"/>
  </mergeCells>
  <dataValidations count="5">
    <dataValidation type="list" allowBlank="1" showInputMessage="1" showErrorMessage="1" sqref="B22" xr:uid="{00000000-0002-0000-1A00-000000000000}">
      <formula1>"Tags Normal,Tags Reversed,Local"</formula1>
    </dataValidation>
    <dataValidation type="list" allowBlank="1" showInputMessage="1" showErrorMessage="1" sqref="B29 B31 B33 B35 B19:B21" xr:uid="{00000000-0002-0000-1A00-000001000000}">
      <formula1>"Checked,Unchecked"</formula1>
    </dataValidation>
    <dataValidation type="list" allowBlank="1" showInputMessage="1" showErrorMessage="1" sqref="B25" xr:uid="{00000000-0002-0000-1A00-000002000000}">
      <formula1>"N/A,Tags Normal,Tags Reversed,Direct Assignment"</formula1>
    </dataValidation>
    <dataValidation type="list" allowBlank="1" showInputMessage="1" showErrorMessage="1" sqref="B37" xr:uid="{00000000-0002-0000-1A00-000003000000}">
      <formula1>"JSON,XML,CEF,LEEF,Key-Value Pairs,Delimited,Limited Structure"</formula1>
    </dataValidation>
    <dataValidation type="list" allowBlank="1" showInputMessage="1" showErrorMessage="1" sqref="B23:B24" xr:uid="{00000000-0002-0000-1A00-000004000000}">
      <formula1>"N/A,Tags,Log Message Source"</formula1>
    </dataValidation>
  </dataValidations>
  <pageMargins left="0.7" right="0.7" top="0.75" bottom="0.75" header="0.3" footer="0.3"/>
  <pageSetup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H107"/>
  <sheetViews>
    <sheetView topLeftCell="C83" workbookViewId="0">
      <selection activeCell="D57" sqref="D5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1060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1061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1062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1063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409.6">
      <c r="A41" s="8" t="s">
        <v>48</v>
      </c>
      <c r="B41" s="11" t="s">
        <v>1064</v>
      </c>
      <c r="C41" s="13" t="s">
        <v>1065</v>
      </c>
      <c r="D41" s="13" t="s">
        <v>1066</v>
      </c>
      <c r="E41" s="13" t="s">
        <v>1067</v>
      </c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6" t="s">
        <v>54</v>
      </c>
      <c r="B46" s="46" t="s">
        <v>55</v>
      </c>
      <c r="C46" s="67" t="s">
        <v>1068</v>
      </c>
      <c r="D46" s="14"/>
      <c r="E46" s="10"/>
      <c r="F46" s="10"/>
      <c r="G46" s="10"/>
    </row>
    <row r="47" spans="1:8">
      <c r="A47" s="46" t="s">
        <v>56</v>
      </c>
      <c r="B47" s="46" t="s">
        <v>57</v>
      </c>
      <c r="C47" s="48">
        <v>0.44783564814814802</v>
      </c>
      <c r="D47" s="14"/>
      <c r="E47" s="10"/>
      <c r="F47" s="10"/>
      <c r="G47" s="10"/>
    </row>
    <row r="48" spans="1:8">
      <c r="A48" s="46" t="s">
        <v>58</v>
      </c>
      <c r="B48" s="46" t="s">
        <v>59</v>
      </c>
      <c r="C48" s="41">
        <v>1700062002</v>
      </c>
      <c r="D48" s="45" t="s">
        <v>67</v>
      </c>
      <c r="E48" s="10"/>
      <c r="F48" s="10"/>
      <c r="G48" s="10"/>
    </row>
    <row r="49" spans="1:7">
      <c r="A49" s="46" t="s">
        <v>60</v>
      </c>
      <c r="B49" s="46" t="s">
        <v>61</v>
      </c>
      <c r="C49" s="41" t="s">
        <v>778</v>
      </c>
      <c r="D49" s="18" t="s">
        <v>63</v>
      </c>
      <c r="E49" s="10"/>
      <c r="F49" s="10"/>
      <c r="G49" s="10"/>
    </row>
    <row r="50" spans="1:7">
      <c r="A50" s="46" t="s">
        <v>64</v>
      </c>
      <c r="B50" s="46" t="s">
        <v>65</v>
      </c>
      <c r="C50" s="41" t="s">
        <v>1069</v>
      </c>
      <c r="D50" s="34"/>
      <c r="E50" s="10"/>
      <c r="F50" s="10"/>
      <c r="G50" s="10"/>
    </row>
    <row r="51" spans="1:7">
      <c r="A51" s="46" t="s">
        <v>295</v>
      </c>
      <c r="B51" s="46" t="s">
        <v>1070</v>
      </c>
      <c r="C51" s="41" t="s">
        <v>1071</v>
      </c>
      <c r="D51" s="14"/>
      <c r="E51" s="10"/>
      <c r="F51" s="10"/>
      <c r="G51" s="10"/>
    </row>
    <row r="52" spans="1:7">
      <c r="A52" s="46" t="s">
        <v>68</v>
      </c>
      <c r="B52" s="46" t="s">
        <v>69</v>
      </c>
      <c r="C52" s="41" t="s">
        <v>385</v>
      </c>
      <c r="D52" s="45" t="s">
        <v>71</v>
      </c>
      <c r="E52" s="10"/>
      <c r="F52" s="10"/>
      <c r="G52" s="10"/>
    </row>
    <row r="53" spans="1:7">
      <c r="A53" s="46" t="s">
        <v>72</v>
      </c>
      <c r="B53" s="46" t="s">
        <v>73</v>
      </c>
      <c r="C53" s="41" t="s">
        <v>74</v>
      </c>
      <c r="D53" s="14"/>
      <c r="E53" s="10"/>
      <c r="F53" s="10"/>
      <c r="G53" s="10"/>
    </row>
    <row r="54" spans="1:7">
      <c r="A54" s="46" t="s">
        <v>75</v>
      </c>
      <c r="B54" s="46" t="s">
        <v>76</v>
      </c>
      <c r="C54" s="41">
        <v>1553795092</v>
      </c>
      <c r="D54" s="14"/>
      <c r="E54" s="10"/>
      <c r="F54" s="10"/>
      <c r="G54" s="10"/>
    </row>
    <row r="55" spans="1:7" ht="31.2">
      <c r="A55" s="46" t="s">
        <v>123</v>
      </c>
      <c r="B55" s="46" t="s">
        <v>791</v>
      </c>
      <c r="C55" s="41">
        <v>1</v>
      </c>
      <c r="D55" s="45" t="s">
        <v>128</v>
      </c>
      <c r="E55" s="10"/>
      <c r="F55" s="10"/>
      <c r="G55" s="10"/>
    </row>
    <row r="56" spans="1:7" ht="31.2">
      <c r="A56" s="46" t="s">
        <v>113</v>
      </c>
      <c r="B56" s="46" t="s">
        <v>786</v>
      </c>
      <c r="C56" s="41">
        <v>10796</v>
      </c>
      <c r="D56" s="45" t="s">
        <v>115</v>
      </c>
      <c r="E56" s="10"/>
      <c r="F56" s="10"/>
      <c r="G56" s="10"/>
    </row>
    <row r="57" spans="1:7">
      <c r="A57" s="46" t="s">
        <v>129</v>
      </c>
      <c r="B57" s="46" t="s">
        <v>130</v>
      </c>
      <c r="C57" s="41" t="s">
        <v>266</v>
      </c>
      <c r="D57" s="45" t="s">
        <v>132</v>
      </c>
      <c r="E57" s="10"/>
      <c r="F57" s="10"/>
      <c r="G57" s="10"/>
    </row>
    <row r="58" spans="1:7">
      <c r="A58" s="46" t="s">
        <v>77</v>
      </c>
      <c r="B58" s="46" t="s">
        <v>78</v>
      </c>
      <c r="C58" s="41" t="s">
        <v>1072</v>
      </c>
      <c r="D58" s="45" t="s">
        <v>80</v>
      </c>
      <c r="E58" s="10"/>
      <c r="F58" s="10"/>
      <c r="G58" s="10"/>
    </row>
    <row r="59" spans="1:7">
      <c r="A59" s="46" t="s">
        <v>81</v>
      </c>
      <c r="B59" s="46" t="s">
        <v>82</v>
      </c>
      <c r="C59" s="41">
        <v>43602</v>
      </c>
      <c r="D59" s="45" t="s">
        <v>83</v>
      </c>
      <c r="E59" s="10"/>
      <c r="F59" s="10"/>
      <c r="G59" s="10"/>
    </row>
    <row r="60" spans="1:7">
      <c r="A60" s="46" t="s">
        <v>91</v>
      </c>
      <c r="B60" s="46" t="s">
        <v>92</v>
      </c>
      <c r="C60" s="41" t="s">
        <v>1073</v>
      </c>
      <c r="D60" s="45" t="s">
        <v>94</v>
      </c>
      <c r="E60" s="10"/>
      <c r="F60" s="10"/>
      <c r="G60" s="10"/>
    </row>
    <row r="61" spans="1:7">
      <c r="A61" s="46" t="s">
        <v>95</v>
      </c>
      <c r="B61" s="46" t="s">
        <v>96</v>
      </c>
      <c r="C61" s="41">
        <v>443</v>
      </c>
      <c r="D61" s="45" t="s">
        <v>97</v>
      </c>
      <c r="E61" s="10"/>
      <c r="F61" s="10"/>
      <c r="G61" s="10"/>
    </row>
    <row r="62" spans="1:7">
      <c r="A62" s="46" t="s">
        <v>84</v>
      </c>
      <c r="B62" s="46" t="s">
        <v>85</v>
      </c>
      <c r="C62" s="41" t="s">
        <v>1074</v>
      </c>
      <c r="D62" s="45" t="s">
        <v>87</v>
      </c>
      <c r="E62" s="10"/>
      <c r="F62" s="10"/>
      <c r="G62" s="10"/>
    </row>
    <row r="63" spans="1:7">
      <c r="A63" s="46" t="s">
        <v>88</v>
      </c>
      <c r="B63" s="46" t="s">
        <v>89</v>
      </c>
      <c r="C63" s="41" t="s">
        <v>90</v>
      </c>
      <c r="D63" s="14"/>
      <c r="E63" s="10"/>
      <c r="F63" s="10"/>
      <c r="G63" s="10"/>
    </row>
    <row r="64" spans="1:7">
      <c r="A64" s="46" t="s">
        <v>98</v>
      </c>
      <c r="B64" s="46" t="s">
        <v>99</v>
      </c>
      <c r="C64" s="41" t="s">
        <v>1075</v>
      </c>
      <c r="D64" s="45" t="s">
        <v>101</v>
      </c>
      <c r="E64" s="10"/>
      <c r="F64" s="10"/>
      <c r="G64" s="10"/>
    </row>
    <row r="65" spans="1:7">
      <c r="A65" s="46" t="s">
        <v>102</v>
      </c>
      <c r="B65" s="46" t="s">
        <v>103</v>
      </c>
      <c r="C65" s="41" t="s">
        <v>90</v>
      </c>
      <c r="D65" s="14"/>
      <c r="E65" s="10"/>
      <c r="F65" s="10"/>
      <c r="G65" s="10"/>
    </row>
    <row r="66" spans="1:7">
      <c r="A66" s="46" t="s">
        <v>116</v>
      </c>
      <c r="B66" s="46" t="s">
        <v>117</v>
      </c>
      <c r="C66" s="41">
        <v>6</v>
      </c>
      <c r="D66" s="45" t="s">
        <v>118</v>
      </c>
      <c r="E66" s="10"/>
      <c r="F66" s="10"/>
      <c r="G66" s="10"/>
    </row>
    <row r="67" spans="1:7" ht="31.2">
      <c r="A67" s="46" t="s">
        <v>119</v>
      </c>
      <c r="B67" s="46" t="s">
        <v>120</v>
      </c>
      <c r="C67" s="41" t="s">
        <v>784</v>
      </c>
      <c r="D67" s="45" t="s">
        <v>477</v>
      </c>
      <c r="E67" s="10"/>
      <c r="F67" s="10"/>
      <c r="G67" s="10"/>
    </row>
    <row r="68" spans="1:7">
      <c r="A68" s="46" t="s">
        <v>309</v>
      </c>
      <c r="B68" s="46" t="s">
        <v>310</v>
      </c>
      <c r="C68" s="41" t="s">
        <v>1076</v>
      </c>
      <c r="D68" s="45" t="s">
        <v>312</v>
      </c>
      <c r="E68" s="10"/>
      <c r="F68" s="10"/>
      <c r="G68" s="10"/>
    </row>
    <row r="69" spans="1:7">
      <c r="A69" s="46" t="s">
        <v>369</v>
      </c>
      <c r="B69" s="46" t="s">
        <v>1077</v>
      </c>
      <c r="C69" s="41" t="s">
        <v>1078</v>
      </c>
      <c r="D69" s="45" t="s">
        <v>372</v>
      </c>
      <c r="E69" s="10"/>
      <c r="F69" s="10"/>
      <c r="G69" s="10"/>
    </row>
    <row r="70" spans="1:7">
      <c r="A70" s="46" t="s">
        <v>290</v>
      </c>
      <c r="B70" s="46" t="s">
        <v>291</v>
      </c>
      <c r="C70" s="41"/>
      <c r="D70" s="14"/>
      <c r="E70" s="10"/>
      <c r="F70" s="10"/>
      <c r="G70" s="10"/>
    </row>
    <row r="71" spans="1:7">
      <c r="A71" s="46" t="s">
        <v>373</v>
      </c>
      <c r="B71" s="46" t="s">
        <v>1079</v>
      </c>
      <c r="C71" s="41"/>
      <c r="D71" s="14"/>
      <c r="E71" s="10"/>
      <c r="F71" s="10"/>
      <c r="G71" s="10"/>
    </row>
    <row r="72" spans="1:7">
      <c r="A72" s="46" t="s">
        <v>1080</v>
      </c>
      <c r="B72" s="46"/>
      <c r="C72" s="41"/>
      <c r="D72" s="14"/>
      <c r="E72" s="10"/>
      <c r="F72" s="10"/>
      <c r="G72" s="10"/>
    </row>
    <row r="73" spans="1:7">
      <c r="A73" s="46" t="s">
        <v>104</v>
      </c>
      <c r="B73" s="46" t="s">
        <v>105</v>
      </c>
      <c r="C73" s="41"/>
      <c r="D73" s="14"/>
      <c r="E73" s="10"/>
      <c r="F73" s="10"/>
      <c r="G73" s="10"/>
    </row>
    <row r="74" spans="1:7">
      <c r="A74" s="46" t="s">
        <v>107</v>
      </c>
      <c r="B74" s="46" t="s">
        <v>108</v>
      </c>
      <c r="C74" s="41"/>
      <c r="D74" s="14"/>
      <c r="E74" s="10"/>
      <c r="F74" s="10"/>
      <c r="G74" s="10"/>
    </row>
    <row r="75" spans="1:7">
      <c r="A75" s="46" t="s">
        <v>1081</v>
      </c>
      <c r="B75" s="46"/>
      <c r="C75" s="41"/>
      <c r="D75" s="14"/>
      <c r="E75" s="10"/>
      <c r="F75" s="10"/>
      <c r="G75" s="10"/>
    </row>
    <row r="76" spans="1:7" ht="31.2">
      <c r="A76" s="46" t="s">
        <v>852</v>
      </c>
      <c r="B76" s="46" t="s">
        <v>1031</v>
      </c>
      <c r="C76" s="41"/>
      <c r="D76" s="45" t="s">
        <v>1082</v>
      </c>
      <c r="E76" s="10"/>
      <c r="F76" s="10"/>
      <c r="G76" s="10"/>
    </row>
    <row r="77" spans="1:7">
      <c r="A77" s="46" t="s">
        <v>1083</v>
      </c>
      <c r="B77" s="46"/>
      <c r="C77" s="41"/>
      <c r="D77" s="45"/>
      <c r="E77" s="10"/>
      <c r="F77" s="10"/>
      <c r="G77" s="10"/>
    </row>
    <row r="78" spans="1:7">
      <c r="A78" s="46" t="s">
        <v>1084</v>
      </c>
      <c r="B78" s="46"/>
      <c r="C78" s="41"/>
      <c r="D78" s="45"/>
      <c r="E78" s="10"/>
      <c r="F78" s="10"/>
      <c r="G78" s="10"/>
    </row>
    <row r="79" spans="1:7">
      <c r="A79" s="46" t="s">
        <v>1085</v>
      </c>
      <c r="B79" s="46"/>
      <c r="C79" s="41"/>
      <c r="D79" s="45"/>
      <c r="E79" s="10"/>
      <c r="F79" s="10"/>
      <c r="G79" s="10"/>
    </row>
    <row r="80" spans="1:7">
      <c r="A80" s="46" t="s">
        <v>1086</v>
      </c>
      <c r="B80" s="46"/>
      <c r="C80" s="41"/>
      <c r="D80" s="45"/>
      <c r="E80" s="10"/>
      <c r="F80" s="10"/>
      <c r="G80" s="10"/>
    </row>
    <row r="81" spans="1:8">
      <c r="A81" s="46" t="s">
        <v>1087</v>
      </c>
      <c r="B81" s="46"/>
      <c r="C81" s="41"/>
      <c r="D81" s="45"/>
      <c r="E81" s="10"/>
      <c r="F81" s="10"/>
      <c r="G81" s="10"/>
    </row>
    <row r="82" spans="1:8">
      <c r="A82" s="46" t="s">
        <v>350</v>
      </c>
      <c r="B82" s="46" t="s">
        <v>351</v>
      </c>
      <c r="C82" s="41"/>
      <c r="D82" s="45" t="s">
        <v>352</v>
      </c>
      <c r="E82" s="10"/>
      <c r="F82" s="10"/>
      <c r="G82" s="10"/>
    </row>
    <row r="83" spans="1:8">
      <c r="A83" s="46" t="s">
        <v>1088</v>
      </c>
      <c r="B83" s="46"/>
      <c r="C83" s="41"/>
      <c r="D83" s="34"/>
      <c r="E83" s="10"/>
      <c r="F83" s="10"/>
      <c r="G83" s="10"/>
    </row>
    <row r="84" spans="1:8">
      <c r="A84" s="46" t="s">
        <v>1089</v>
      </c>
      <c r="B84" s="46"/>
      <c r="C84" s="41"/>
      <c r="D84" s="45" t="s">
        <v>1090</v>
      </c>
      <c r="E84" s="10"/>
      <c r="F84" s="10"/>
      <c r="G84" s="10"/>
    </row>
    <row r="85" spans="1:8">
      <c r="A85" s="46" t="s">
        <v>1091</v>
      </c>
      <c r="B85" s="46"/>
      <c r="C85" s="41"/>
      <c r="D85" s="45"/>
      <c r="E85" s="10"/>
      <c r="F85" s="10"/>
      <c r="G85" s="10"/>
    </row>
    <row r="86" spans="1:8">
      <c r="A86" s="46" t="s">
        <v>1092</v>
      </c>
      <c r="B86" s="46"/>
      <c r="C86" s="41"/>
      <c r="D86" s="45" t="s">
        <v>1093</v>
      </c>
      <c r="E86" s="10"/>
      <c r="F86" s="10"/>
      <c r="G86" s="10"/>
    </row>
    <row r="87" spans="1:8">
      <c r="A87" s="46" t="s">
        <v>1094</v>
      </c>
      <c r="B87" s="46"/>
      <c r="C87" s="41"/>
      <c r="D87" s="14"/>
      <c r="E87" s="10"/>
      <c r="F87" s="10"/>
      <c r="G87" s="10"/>
    </row>
    <row r="88" spans="1:8">
      <c r="A88" s="46" t="s">
        <v>1095</v>
      </c>
      <c r="B88" s="46"/>
      <c r="C88" s="41"/>
      <c r="D88" s="14"/>
      <c r="E88" s="10"/>
      <c r="F88" s="10"/>
      <c r="G88" s="10"/>
    </row>
    <row r="89" spans="1:8">
      <c r="A89" s="46" t="s">
        <v>1096</v>
      </c>
      <c r="B89" s="46"/>
      <c r="C89" s="41"/>
      <c r="D89" s="14"/>
      <c r="E89" s="10"/>
      <c r="F89" s="10"/>
      <c r="G89" s="10"/>
    </row>
    <row r="90" spans="1:8">
      <c r="A90" s="46" t="s">
        <v>1097</v>
      </c>
      <c r="B90" s="46"/>
      <c r="C90" s="41"/>
      <c r="D90" s="14"/>
      <c r="E90" s="10"/>
      <c r="F90" s="10"/>
      <c r="G90" s="10"/>
    </row>
    <row r="91" spans="1:8">
      <c r="A91" s="46" t="s">
        <v>1098</v>
      </c>
      <c r="B91" s="46"/>
      <c r="C91" s="41"/>
      <c r="D91" s="14"/>
      <c r="E91" s="10"/>
      <c r="F91" s="10"/>
      <c r="G91" s="10"/>
    </row>
    <row r="92" spans="1:8">
      <c r="A92" s="46" t="s">
        <v>1099</v>
      </c>
      <c r="B92" s="46"/>
      <c r="C92" s="41"/>
      <c r="D92" s="14"/>
      <c r="E92" s="10"/>
      <c r="F92" s="10"/>
      <c r="G92" s="10"/>
    </row>
    <row r="93" spans="1:8">
      <c r="A93" s="46" t="s">
        <v>1100</v>
      </c>
      <c r="B93" s="46"/>
      <c r="C93" s="41"/>
      <c r="D93" s="14"/>
      <c r="E93" s="10"/>
      <c r="F93" s="10"/>
      <c r="G93" s="10"/>
    </row>
    <row r="94" spans="1:8">
      <c r="A94" s="13"/>
      <c r="B94" s="10"/>
      <c r="C94" s="10"/>
      <c r="D94" s="10"/>
      <c r="E94" s="10"/>
      <c r="F94" s="10"/>
      <c r="G94" s="10"/>
      <c r="H94" s="10"/>
    </row>
    <row r="95" spans="1:8">
      <c r="A95" s="13"/>
      <c r="B95" s="10"/>
      <c r="C95" s="10"/>
      <c r="D95" s="10"/>
      <c r="E95" s="10"/>
      <c r="F95" s="10"/>
      <c r="G95" s="10"/>
      <c r="H95" s="10"/>
    </row>
    <row r="96" spans="1:8">
      <c r="A96" s="113" t="s">
        <v>196</v>
      </c>
      <c r="B96" s="113"/>
      <c r="C96" s="113"/>
      <c r="D96" s="113"/>
      <c r="E96" s="113"/>
      <c r="F96" s="113"/>
      <c r="G96" s="113"/>
      <c r="H96" s="113"/>
    </row>
    <row r="97" spans="1:8">
      <c r="A97" s="14" t="s">
        <v>1432</v>
      </c>
      <c r="B97" s="14" t="s">
        <v>197</v>
      </c>
      <c r="C97" s="14" t="s">
        <v>198</v>
      </c>
      <c r="D97" s="14" t="s">
        <v>199</v>
      </c>
      <c r="E97" s="14" t="s">
        <v>200</v>
      </c>
      <c r="F97" s="14" t="s">
        <v>202</v>
      </c>
      <c r="G97" s="14" t="s">
        <v>21</v>
      </c>
      <c r="H97" s="14" t="s">
        <v>203</v>
      </c>
    </row>
    <row r="98" spans="1:8">
      <c r="A98" s="77">
        <v>62000</v>
      </c>
      <c r="B98" s="83"/>
      <c r="C98" s="19"/>
      <c r="D98" s="19"/>
      <c r="E98" s="19"/>
      <c r="F98" s="85" t="s">
        <v>1741</v>
      </c>
      <c r="G98" s="4" t="s">
        <v>1283</v>
      </c>
      <c r="H98" s="19"/>
    </row>
    <row r="99" spans="1:8" ht="31.2">
      <c r="A99" s="77">
        <v>62001</v>
      </c>
      <c r="B99" s="83"/>
      <c r="C99" s="5"/>
      <c r="D99" s="5"/>
      <c r="E99" s="5"/>
      <c r="F99" s="85" t="s">
        <v>1742</v>
      </c>
      <c r="G99" s="84" t="s">
        <v>1743</v>
      </c>
      <c r="H99" s="5"/>
    </row>
    <row r="100" spans="1:8">
      <c r="A100" s="77">
        <v>62002</v>
      </c>
      <c r="B100" s="83"/>
      <c r="C100" s="5"/>
      <c r="D100" s="5"/>
      <c r="E100" s="5"/>
      <c r="F100" s="85" t="s">
        <v>1744</v>
      </c>
      <c r="G100" s="4" t="s">
        <v>1283</v>
      </c>
      <c r="H100" s="5"/>
    </row>
    <row r="101" spans="1:8">
      <c r="A101" s="77">
        <v>62003</v>
      </c>
      <c r="B101" s="3"/>
      <c r="C101" s="3"/>
      <c r="D101" s="3"/>
      <c r="E101" s="3"/>
      <c r="F101" s="85" t="s">
        <v>1745</v>
      </c>
      <c r="G101" s="3" t="s">
        <v>1675</v>
      </c>
      <c r="H101" s="3"/>
    </row>
    <row r="102" spans="1:8">
      <c r="A102" s="77">
        <v>62050</v>
      </c>
      <c r="B102" s="3"/>
      <c r="C102" s="3"/>
      <c r="D102" s="3"/>
      <c r="E102" s="3"/>
      <c r="F102" s="85" t="s">
        <v>1746</v>
      </c>
      <c r="G102" s="3" t="s">
        <v>1675</v>
      </c>
      <c r="H102" s="3"/>
    </row>
    <row r="103" spans="1:8">
      <c r="A103" s="77">
        <v>62051</v>
      </c>
      <c r="B103" s="3"/>
      <c r="C103" s="3"/>
      <c r="D103" s="3"/>
      <c r="E103" s="3"/>
      <c r="F103" s="3" t="s">
        <v>1747</v>
      </c>
      <c r="G103" s="4" t="s">
        <v>1283</v>
      </c>
      <c r="H103" s="3"/>
    </row>
    <row r="104" spans="1:8" ht="31.2">
      <c r="A104" s="77">
        <v>62052</v>
      </c>
      <c r="B104" s="3"/>
      <c r="C104" s="3"/>
      <c r="D104" s="3"/>
      <c r="E104" s="3"/>
      <c r="F104" s="85" t="s">
        <v>1748</v>
      </c>
      <c r="G104" s="3" t="s">
        <v>1750</v>
      </c>
      <c r="H104" s="3"/>
    </row>
    <row r="105" spans="1:8">
      <c r="A105" s="77">
        <v>62053</v>
      </c>
      <c r="B105" s="3"/>
      <c r="C105" s="3"/>
      <c r="D105" s="3"/>
      <c r="E105" s="3"/>
      <c r="F105" s="85" t="s">
        <v>1749</v>
      </c>
      <c r="G105" s="4" t="s">
        <v>1283</v>
      </c>
      <c r="H105" s="3"/>
    </row>
    <row r="106" spans="1:8" ht="31.2">
      <c r="A106" s="77">
        <v>62200</v>
      </c>
      <c r="B106" s="3"/>
      <c r="C106" s="3"/>
      <c r="D106" s="3"/>
      <c r="E106" s="3"/>
      <c r="F106" s="85" t="s">
        <v>1751</v>
      </c>
      <c r="G106" s="3" t="s">
        <v>1752</v>
      </c>
      <c r="H106" s="3"/>
    </row>
    <row r="107" spans="1:8" ht="31.2">
      <c r="A107" s="77">
        <v>62202</v>
      </c>
      <c r="B107" s="3"/>
      <c r="C107" s="3"/>
      <c r="D107" s="3"/>
      <c r="E107" s="3"/>
      <c r="F107" s="85" t="s">
        <v>1753</v>
      </c>
      <c r="G107" s="3" t="s">
        <v>1752</v>
      </c>
      <c r="H107" s="3"/>
    </row>
  </sheetData>
  <mergeCells count="8">
    <mergeCell ref="A34:B34"/>
    <mergeCell ref="A44:D44"/>
    <mergeCell ref="A96:H96"/>
    <mergeCell ref="A11:B11"/>
    <mergeCell ref="A18:B18"/>
    <mergeCell ref="A28:B28"/>
    <mergeCell ref="A30:B30"/>
    <mergeCell ref="A32:B32"/>
  </mergeCells>
  <phoneticPr fontId="19" type="noConversion"/>
  <conditionalFormatting sqref="B68">
    <cfRule type="duplicateValues" dxfId="5" priority="1"/>
  </conditionalFormatting>
  <dataValidations count="5">
    <dataValidation type="list" allowBlank="1" showInputMessage="1" showErrorMessage="1" sqref="B22" xr:uid="{00000000-0002-0000-1B00-000000000000}">
      <formula1>"Tags Normal,Tags Reversed,Local"</formula1>
    </dataValidation>
    <dataValidation type="list" allowBlank="1" showInputMessage="1" showErrorMessage="1" sqref="B29 B31 B33 B35 B19:B21" xr:uid="{00000000-0002-0000-1B00-000001000000}">
      <formula1>"Checked,Unchecked"</formula1>
    </dataValidation>
    <dataValidation type="list" allowBlank="1" showInputMessage="1" showErrorMessage="1" sqref="B25" xr:uid="{00000000-0002-0000-1B00-000002000000}">
      <formula1>"N/A,Tags Normal,Tags Reversed,Direct Assignment"</formula1>
    </dataValidation>
    <dataValidation type="list" allowBlank="1" showInputMessage="1" showErrorMessage="1" sqref="B37" xr:uid="{00000000-0002-0000-1B00-000003000000}">
      <formula1>"JSON,XML,CEF,LEEF,Key-Value Pairs,Delimited,Limited Structure"</formula1>
    </dataValidation>
    <dataValidation type="list" allowBlank="1" showInputMessage="1" showErrorMessage="1" sqref="B23:B24" xr:uid="{00000000-0002-0000-1B00-000004000000}">
      <formula1>"N/A,Tags,Log Message Source"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4B2FA-3F6E-4F56-A753-89B365CD8597}">
  <dimension ref="A1:H92"/>
  <sheetViews>
    <sheetView topLeftCell="A65" workbookViewId="0">
      <selection activeCell="D67" sqref="D67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1792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1793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92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1794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327.60000000000002">
      <c r="A41" s="8" t="s">
        <v>48</v>
      </c>
      <c r="B41" s="11" t="s">
        <v>1874</v>
      </c>
      <c r="C41" s="13"/>
      <c r="D41" s="13"/>
      <c r="E41" s="13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1809</v>
      </c>
      <c r="B46" s="46"/>
      <c r="C46" s="67" t="s">
        <v>1856</v>
      </c>
      <c r="D46" s="19" t="s">
        <v>1810</v>
      </c>
      <c r="E46" s="10"/>
      <c r="F46" s="10"/>
      <c r="G46" s="10"/>
    </row>
    <row r="47" spans="1:8">
      <c r="A47" s="46" t="s">
        <v>1795</v>
      </c>
      <c r="B47" s="46"/>
      <c r="C47" s="67" t="s">
        <v>1857</v>
      </c>
      <c r="D47" s="14"/>
      <c r="E47" s="10"/>
      <c r="F47" s="10"/>
      <c r="G47" s="10"/>
    </row>
    <row r="48" spans="1:8">
      <c r="A48" s="46" t="s">
        <v>1113</v>
      </c>
      <c r="B48" s="46"/>
      <c r="C48" s="41" t="s">
        <v>1858</v>
      </c>
      <c r="D48" s="19" t="s">
        <v>932</v>
      </c>
      <c r="E48" s="10"/>
      <c r="F48" s="10"/>
      <c r="G48" s="10"/>
    </row>
    <row r="49" spans="1:7">
      <c r="A49" s="46" t="s">
        <v>1114</v>
      </c>
      <c r="B49" s="46"/>
      <c r="C49" s="41" t="s">
        <v>1859</v>
      </c>
      <c r="D49" s="18"/>
      <c r="E49" s="10"/>
      <c r="F49" s="10"/>
      <c r="G49" s="10"/>
    </row>
    <row r="50" spans="1:7">
      <c r="A50" s="46" t="s">
        <v>72</v>
      </c>
      <c r="B50" s="46"/>
      <c r="C50" s="41" t="s">
        <v>258</v>
      </c>
      <c r="D50" s="34"/>
      <c r="E50" s="10"/>
      <c r="F50" s="10"/>
      <c r="G50" s="10"/>
    </row>
    <row r="51" spans="1:7">
      <c r="A51" s="46" t="s">
        <v>54</v>
      </c>
      <c r="B51" s="46" t="s">
        <v>55</v>
      </c>
      <c r="C51" s="41">
        <v>45225</v>
      </c>
      <c r="D51" s="14"/>
      <c r="E51" s="10"/>
      <c r="F51" s="10"/>
      <c r="G51" s="10"/>
    </row>
    <row r="52" spans="1:7">
      <c r="A52" s="46" t="s">
        <v>56</v>
      </c>
      <c r="B52" s="46" t="s">
        <v>57</v>
      </c>
      <c r="C52" s="41">
        <v>0.44398148100000001</v>
      </c>
      <c r="D52" s="45"/>
      <c r="E52" s="10"/>
      <c r="F52" s="10"/>
      <c r="G52" s="10"/>
    </row>
    <row r="53" spans="1:7">
      <c r="A53" s="46" t="s">
        <v>75</v>
      </c>
      <c r="B53" s="46"/>
      <c r="C53" s="95">
        <v>1.69833E+18</v>
      </c>
      <c r="D53" s="14"/>
      <c r="E53" s="10"/>
      <c r="F53" s="10"/>
      <c r="G53" s="10"/>
    </row>
    <row r="54" spans="1:7">
      <c r="A54" s="46" t="s">
        <v>290</v>
      </c>
      <c r="B54" s="46"/>
      <c r="C54" s="41">
        <v>-500</v>
      </c>
      <c r="D54" s="14"/>
      <c r="E54" s="10"/>
      <c r="F54" s="10"/>
      <c r="G54" s="10"/>
    </row>
    <row r="55" spans="1:7">
      <c r="A55" s="46" t="s">
        <v>58</v>
      </c>
      <c r="B55" s="46" t="s">
        <v>59</v>
      </c>
      <c r="C55" s="41">
        <v>814044032</v>
      </c>
      <c r="D55" s="19" t="s">
        <v>67</v>
      </c>
      <c r="E55" s="10"/>
      <c r="F55" s="10"/>
      <c r="G55" s="10"/>
    </row>
    <row r="56" spans="1:7">
      <c r="A56" s="46" t="s">
        <v>60</v>
      </c>
      <c r="B56" s="46" t="s">
        <v>61</v>
      </c>
      <c r="C56" s="41" t="s">
        <v>778</v>
      </c>
      <c r="D56" s="18" t="s">
        <v>63</v>
      </c>
      <c r="E56" s="10"/>
      <c r="F56" s="10"/>
      <c r="G56" s="10"/>
    </row>
    <row r="57" spans="1:7">
      <c r="A57" s="46" t="s">
        <v>64</v>
      </c>
      <c r="B57" s="46" t="s">
        <v>65</v>
      </c>
      <c r="C57" s="41" t="s">
        <v>1860</v>
      </c>
      <c r="D57" s="45"/>
      <c r="E57" s="10"/>
      <c r="F57" s="10"/>
      <c r="G57" s="10"/>
    </row>
    <row r="58" spans="1:7">
      <c r="A58" s="46" t="s">
        <v>295</v>
      </c>
      <c r="B58" s="4" t="s">
        <v>2035</v>
      </c>
      <c r="C58" s="41" t="s">
        <v>1860</v>
      </c>
      <c r="D58" s="45"/>
      <c r="E58" s="10"/>
      <c r="F58" s="10"/>
      <c r="G58" s="10"/>
    </row>
    <row r="59" spans="1:7">
      <c r="A59" s="46" t="s">
        <v>68</v>
      </c>
      <c r="B59" s="46" t="s">
        <v>69</v>
      </c>
      <c r="C59" s="41" t="s">
        <v>348</v>
      </c>
      <c r="D59" s="45" t="s">
        <v>71</v>
      </c>
      <c r="E59" s="10"/>
      <c r="F59" s="10"/>
      <c r="G59" s="10"/>
    </row>
    <row r="60" spans="1:7" ht="31.2">
      <c r="A60" s="46" t="s">
        <v>551</v>
      </c>
      <c r="B60" s="46" t="s">
        <v>786</v>
      </c>
      <c r="C60" s="41">
        <v>55221</v>
      </c>
      <c r="D60" s="19" t="s">
        <v>115</v>
      </c>
      <c r="E60" s="10"/>
      <c r="F60" s="10"/>
      <c r="G60" s="10"/>
    </row>
    <row r="61" spans="1:7">
      <c r="A61" s="46" t="s">
        <v>1019</v>
      </c>
      <c r="B61" s="46"/>
      <c r="C61" s="41">
        <v>0</v>
      </c>
      <c r="D61" s="45"/>
      <c r="E61" s="10"/>
      <c r="F61" s="10"/>
      <c r="G61" s="10"/>
    </row>
    <row r="62" spans="1:7">
      <c r="A62" s="46" t="s">
        <v>1796</v>
      </c>
      <c r="B62" s="46"/>
      <c r="C62" s="41">
        <v>76</v>
      </c>
      <c r="D62" s="45"/>
      <c r="E62" s="10"/>
      <c r="F62" s="10"/>
      <c r="G62" s="10"/>
    </row>
    <row r="63" spans="1:7">
      <c r="A63" s="46" t="s">
        <v>77</v>
      </c>
      <c r="B63" s="46" t="s">
        <v>78</v>
      </c>
      <c r="C63" s="41" t="s">
        <v>218</v>
      </c>
      <c r="D63" s="19" t="s">
        <v>80</v>
      </c>
      <c r="E63" s="10"/>
      <c r="F63" s="10"/>
      <c r="G63" s="10"/>
    </row>
    <row r="64" spans="1:7">
      <c r="A64" s="46" t="s">
        <v>1797</v>
      </c>
      <c r="B64" s="46" t="s">
        <v>82</v>
      </c>
      <c r="C64" s="41">
        <v>5060</v>
      </c>
      <c r="D64" s="19" t="s">
        <v>83</v>
      </c>
      <c r="E64" s="10"/>
      <c r="F64" s="10"/>
      <c r="G64" s="10"/>
    </row>
    <row r="65" spans="1:7">
      <c r="A65" s="46" t="s">
        <v>91</v>
      </c>
      <c r="B65" s="46" t="s">
        <v>92</v>
      </c>
      <c r="C65" s="41" t="s">
        <v>1798</v>
      </c>
      <c r="D65" s="19" t="s">
        <v>94</v>
      </c>
      <c r="E65" s="10"/>
      <c r="F65" s="10"/>
      <c r="G65" s="10"/>
    </row>
    <row r="66" spans="1:7">
      <c r="A66" s="46" t="s">
        <v>1799</v>
      </c>
      <c r="B66" s="46" t="s">
        <v>96</v>
      </c>
      <c r="C66" s="41">
        <v>5060</v>
      </c>
      <c r="D66" s="19" t="s">
        <v>97</v>
      </c>
      <c r="E66" s="10"/>
      <c r="F66" s="10"/>
      <c r="G66" s="10"/>
    </row>
    <row r="67" spans="1:7">
      <c r="A67" s="46" t="s">
        <v>116</v>
      </c>
      <c r="B67" s="46" t="s">
        <v>117</v>
      </c>
      <c r="C67" s="41">
        <v>17</v>
      </c>
      <c r="D67" s="19" t="s">
        <v>118</v>
      </c>
      <c r="E67" s="10"/>
      <c r="F67" s="10"/>
      <c r="G67" s="10"/>
    </row>
    <row r="68" spans="1:7">
      <c r="A68" s="46" t="s">
        <v>1800</v>
      </c>
      <c r="B68" s="4" t="s">
        <v>85</v>
      </c>
      <c r="C68" s="41" t="s">
        <v>1861</v>
      </c>
      <c r="D68" s="19"/>
      <c r="E68" s="10"/>
      <c r="F68" s="10"/>
      <c r="G68" s="10"/>
    </row>
    <row r="69" spans="1:7">
      <c r="A69" s="46" t="s">
        <v>1801</v>
      </c>
      <c r="B69" s="4" t="s">
        <v>99</v>
      </c>
      <c r="C69" s="41" t="s">
        <v>1862</v>
      </c>
      <c r="D69" s="19"/>
      <c r="E69" s="10"/>
      <c r="F69" s="10"/>
      <c r="G69" s="10"/>
    </row>
    <row r="70" spans="1:7">
      <c r="A70" s="46" t="s">
        <v>1802</v>
      </c>
      <c r="B70" s="4" t="s">
        <v>124</v>
      </c>
      <c r="C70" s="41">
        <v>36</v>
      </c>
      <c r="D70" s="19" t="s">
        <v>128</v>
      </c>
      <c r="E70" s="10"/>
      <c r="F70" s="10"/>
      <c r="G70" s="10"/>
    </row>
    <row r="71" spans="1:7">
      <c r="A71" s="46" t="s">
        <v>373</v>
      </c>
      <c r="B71" s="46"/>
      <c r="C71" s="41" t="s">
        <v>1863</v>
      </c>
      <c r="D71" s="19"/>
      <c r="E71" s="10"/>
      <c r="F71" s="10"/>
      <c r="G71" s="10"/>
    </row>
    <row r="72" spans="1:7">
      <c r="A72" s="46" t="s">
        <v>1803</v>
      </c>
      <c r="B72" s="46"/>
      <c r="C72" s="41" t="s">
        <v>1864</v>
      </c>
      <c r="D72" s="19" t="s">
        <v>132</v>
      </c>
      <c r="E72" s="10"/>
      <c r="F72" s="10"/>
      <c r="G72" s="10"/>
    </row>
    <row r="73" spans="1:7">
      <c r="A73" s="46" t="s">
        <v>1804</v>
      </c>
      <c r="B73" s="46"/>
      <c r="C73" s="41" t="s">
        <v>1865</v>
      </c>
      <c r="D73" s="19"/>
      <c r="E73" s="10"/>
      <c r="F73" s="10"/>
      <c r="G73" s="10"/>
    </row>
    <row r="74" spans="1:7">
      <c r="A74" s="46" t="s">
        <v>119</v>
      </c>
      <c r="B74" s="46"/>
      <c r="C74" s="41" t="s">
        <v>1866</v>
      </c>
      <c r="D74" s="19" t="s">
        <v>122</v>
      </c>
      <c r="E74" s="10"/>
      <c r="F74" s="10"/>
      <c r="G74" s="10"/>
    </row>
    <row r="75" spans="1:7">
      <c r="A75" s="46" t="s">
        <v>316</v>
      </c>
      <c r="B75" s="46"/>
      <c r="C75" s="41" t="s">
        <v>1867</v>
      </c>
      <c r="D75" s="19" t="s">
        <v>319</v>
      </c>
      <c r="E75" s="10"/>
      <c r="F75" s="10"/>
      <c r="G75" s="10"/>
    </row>
    <row r="76" spans="1:7">
      <c r="A76" s="46" t="s">
        <v>162</v>
      </c>
      <c r="B76" s="46"/>
      <c r="C76" s="41">
        <v>0</v>
      </c>
      <c r="D76" s="19" t="s">
        <v>1811</v>
      </c>
      <c r="E76" s="10"/>
      <c r="F76" s="10"/>
      <c r="G76" s="10"/>
    </row>
    <row r="77" spans="1:7">
      <c r="A77" s="46" t="s">
        <v>432</v>
      </c>
      <c r="B77" s="46"/>
      <c r="C77" s="41" t="s">
        <v>1868</v>
      </c>
      <c r="D77" s="45"/>
      <c r="E77" s="10"/>
      <c r="F77" s="10"/>
      <c r="G77" s="10"/>
    </row>
    <row r="78" spans="1:7">
      <c r="A78" s="46" t="s">
        <v>1805</v>
      </c>
      <c r="B78" s="46"/>
      <c r="C78" s="41" t="s">
        <v>1869</v>
      </c>
      <c r="D78" s="45"/>
      <c r="E78" s="10"/>
      <c r="F78" s="10"/>
      <c r="G78" s="10"/>
    </row>
    <row r="79" spans="1:7">
      <c r="A79" s="46" t="s">
        <v>1806</v>
      </c>
      <c r="B79" s="46"/>
      <c r="C79" s="41" t="s">
        <v>1870</v>
      </c>
      <c r="D79" s="19" t="s">
        <v>1812</v>
      </c>
      <c r="E79" s="10"/>
      <c r="F79" s="10"/>
      <c r="G79" s="10"/>
    </row>
    <row r="80" spans="1:7">
      <c r="A80" s="46" t="s">
        <v>1807</v>
      </c>
      <c r="B80" s="46"/>
      <c r="C80" s="41" t="s">
        <v>1870</v>
      </c>
      <c r="D80" s="19" t="s">
        <v>1813</v>
      </c>
      <c r="E80" s="10"/>
      <c r="F80" s="10"/>
      <c r="G80" s="10"/>
    </row>
    <row r="81" spans="1:8">
      <c r="A81" s="46" t="s">
        <v>1808</v>
      </c>
      <c r="B81" s="46"/>
      <c r="C81" s="41" t="s">
        <v>1871</v>
      </c>
      <c r="D81" s="45"/>
      <c r="E81" s="10"/>
      <c r="F81" s="10"/>
      <c r="G81" s="10"/>
    </row>
    <row r="82" spans="1:8">
      <c r="A82" s="13"/>
      <c r="B82" s="10"/>
      <c r="C82" s="10"/>
      <c r="D82" s="10"/>
      <c r="E82" s="10"/>
      <c r="F82" s="10"/>
      <c r="G82" s="10"/>
      <c r="H82" s="10"/>
    </row>
    <row r="83" spans="1:8">
      <c r="A83" s="13"/>
      <c r="B83" s="10"/>
      <c r="C83" s="10"/>
      <c r="D83" s="10"/>
      <c r="E83" s="10"/>
      <c r="F83" s="10"/>
      <c r="G83" s="10"/>
      <c r="H83" s="10"/>
    </row>
    <row r="84" spans="1:8">
      <c r="A84" s="113" t="s">
        <v>196</v>
      </c>
      <c r="B84" s="113"/>
      <c r="C84" s="113"/>
      <c r="D84" s="113"/>
      <c r="E84" s="113"/>
      <c r="F84" s="113"/>
      <c r="G84" s="113"/>
      <c r="H84" s="113"/>
    </row>
    <row r="85" spans="1:8">
      <c r="A85" s="14" t="s">
        <v>1432</v>
      </c>
      <c r="B85" s="14" t="s">
        <v>197</v>
      </c>
      <c r="C85" s="14" t="s">
        <v>198</v>
      </c>
      <c r="D85" s="14" t="s">
        <v>199</v>
      </c>
      <c r="E85" s="14" t="s">
        <v>200</v>
      </c>
      <c r="F85" s="14" t="s">
        <v>202</v>
      </c>
      <c r="G85" s="14" t="s">
        <v>21</v>
      </c>
      <c r="H85" s="14" t="s">
        <v>203</v>
      </c>
    </row>
    <row r="86" spans="1:8">
      <c r="A86" s="19">
        <v>44032</v>
      </c>
      <c r="B86" s="26"/>
      <c r="C86" s="26"/>
      <c r="D86" s="26"/>
      <c r="E86" s="26"/>
      <c r="F86" s="103" t="s">
        <v>1997</v>
      </c>
      <c r="G86" s="103" t="s">
        <v>1998</v>
      </c>
      <c r="H86" s="26"/>
    </row>
    <row r="87" spans="1:8">
      <c r="A87" s="19">
        <v>44033</v>
      </c>
      <c r="B87" s="26"/>
      <c r="C87" s="26"/>
      <c r="D87" s="26"/>
      <c r="E87" s="26"/>
      <c r="F87" s="103" t="s">
        <v>1999</v>
      </c>
      <c r="G87" s="103" t="s">
        <v>2000</v>
      </c>
      <c r="H87" s="26"/>
    </row>
    <row r="88" spans="1:8">
      <c r="A88" s="19">
        <v>44034</v>
      </c>
      <c r="B88" s="26"/>
      <c r="C88" s="26"/>
      <c r="D88" s="26"/>
      <c r="E88" s="26"/>
      <c r="F88" s="103" t="s">
        <v>2001</v>
      </c>
      <c r="G88" s="103" t="s">
        <v>2002</v>
      </c>
      <c r="H88" s="26"/>
    </row>
    <row r="89" spans="1:8">
      <c r="A89" s="19">
        <v>44035</v>
      </c>
      <c r="B89" s="26"/>
      <c r="C89" s="26"/>
      <c r="D89" s="26"/>
      <c r="E89" s="26"/>
      <c r="F89" s="103" t="s">
        <v>2003</v>
      </c>
      <c r="G89" s="103" t="s">
        <v>2004</v>
      </c>
      <c r="H89" s="26"/>
    </row>
    <row r="90" spans="1:8">
      <c r="A90" s="19">
        <v>44036</v>
      </c>
      <c r="B90" s="26"/>
      <c r="C90" s="26"/>
      <c r="D90" s="26"/>
      <c r="E90" s="26"/>
      <c r="F90" s="103" t="s">
        <v>2005</v>
      </c>
      <c r="G90" s="103" t="s">
        <v>2006</v>
      </c>
      <c r="H90" s="26"/>
    </row>
    <row r="91" spans="1:8" ht="31.2">
      <c r="A91" s="19">
        <v>44037</v>
      </c>
      <c r="B91" s="26"/>
      <c r="C91" s="26"/>
      <c r="D91" s="26"/>
      <c r="E91" s="26"/>
      <c r="F91" s="103" t="s">
        <v>2007</v>
      </c>
      <c r="G91" s="4" t="s">
        <v>2008</v>
      </c>
      <c r="H91" s="26"/>
    </row>
    <row r="92" spans="1:8" ht="31.2">
      <c r="A92" s="19">
        <v>44038</v>
      </c>
      <c r="B92" s="26"/>
      <c r="C92" s="26"/>
      <c r="D92" s="26"/>
      <c r="E92" s="26"/>
      <c r="F92" s="103" t="s">
        <v>2009</v>
      </c>
      <c r="G92" s="4" t="s">
        <v>2010</v>
      </c>
      <c r="H92" s="26"/>
    </row>
  </sheetData>
  <mergeCells count="8">
    <mergeCell ref="A44:D44"/>
    <mergeCell ref="A84:H84"/>
    <mergeCell ref="A11:B11"/>
    <mergeCell ref="A18:B18"/>
    <mergeCell ref="A28:B28"/>
    <mergeCell ref="A30:B30"/>
    <mergeCell ref="A32:B32"/>
    <mergeCell ref="A34:B34"/>
  </mergeCells>
  <conditionalFormatting sqref="B68:B69">
    <cfRule type="duplicateValues" dxfId="4" priority="1"/>
  </conditionalFormatting>
  <dataValidations count="5">
    <dataValidation type="list" allowBlank="1" showInputMessage="1" showErrorMessage="1" sqref="B23:B24" xr:uid="{AF37DB4C-1D43-4357-90D3-A9018B48B6FD}">
      <formula1>"N/A,Tags,Log Message Source"</formula1>
    </dataValidation>
    <dataValidation type="list" allowBlank="1" showInputMessage="1" showErrorMessage="1" sqref="B37" xr:uid="{19FB5BBD-644E-4B7D-9A4A-DC539F513956}">
      <formula1>"JSON,XML,CEF,LEEF,Key-Value Pairs,Delimited,Limited Structure"</formula1>
    </dataValidation>
    <dataValidation type="list" allowBlank="1" showInputMessage="1" showErrorMessage="1" sqref="B25" xr:uid="{10FFE67D-5BB1-460A-9044-9C7A3AF8379C}">
      <formula1>"N/A,Tags Normal,Tags Reversed,Direct Assignment"</formula1>
    </dataValidation>
    <dataValidation type="list" allowBlank="1" showInputMessage="1" showErrorMessage="1" sqref="B29 B31 B33 B35 B19:B21" xr:uid="{CCEBF36C-339B-4341-8493-8B7C530E34BD}">
      <formula1>"Checked,Unchecked"</formula1>
    </dataValidation>
    <dataValidation type="list" allowBlank="1" showInputMessage="1" showErrorMessage="1" sqref="B22" xr:uid="{3652AC4C-D878-4C42-8487-D963E33F7FA6}">
      <formula1>"Tags Normal,Tags Reversed,Local"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C9C08-3F44-4F53-9F1B-E93329EF92CF}">
  <dimension ref="A1:H89"/>
  <sheetViews>
    <sheetView topLeftCell="A77" workbookViewId="0">
      <selection activeCell="G89" sqref="G89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2012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2013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92" t="s">
        <v>253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2014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409.6">
      <c r="A41" s="8" t="s">
        <v>48</v>
      </c>
      <c r="B41" s="11" t="s">
        <v>2019</v>
      </c>
      <c r="C41" s="13" t="s">
        <v>2032</v>
      </c>
      <c r="D41" s="13"/>
      <c r="E41" s="13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4" t="s">
        <v>54</v>
      </c>
      <c r="B46" s="46" t="s">
        <v>55</v>
      </c>
      <c r="C46" s="67" t="s">
        <v>2015</v>
      </c>
      <c r="D46" s="19"/>
      <c r="E46" s="10"/>
      <c r="F46" s="10"/>
      <c r="G46" s="10"/>
    </row>
    <row r="47" spans="1:8">
      <c r="A47" s="46" t="s">
        <v>56</v>
      </c>
      <c r="B47" s="46" t="s">
        <v>57</v>
      </c>
      <c r="C47" s="67" t="s">
        <v>2016</v>
      </c>
      <c r="D47" s="14"/>
      <c r="E47" s="10"/>
      <c r="F47" s="10"/>
      <c r="G47" s="10"/>
    </row>
    <row r="48" spans="1:8">
      <c r="A48" s="46" t="s">
        <v>1113</v>
      </c>
      <c r="B48" s="46"/>
      <c r="C48" s="41" t="s">
        <v>2017</v>
      </c>
      <c r="D48" s="19" t="s">
        <v>932</v>
      </c>
      <c r="E48" s="10"/>
      <c r="F48" s="10"/>
      <c r="G48" s="10"/>
    </row>
    <row r="49" spans="1:7">
      <c r="A49" s="46" t="s">
        <v>1114</v>
      </c>
      <c r="B49" s="46"/>
      <c r="C49" s="41" t="s">
        <v>2018</v>
      </c>
      <c r="D49" s="18"/>
      <c r="E49" s="10"/>
      <c r="F49" s="10"/>
      <c r="G49" s="10"/>
    </row>
    <row r="50" spans="1:7">
      <c r="A50" s="46" t="s">
        <v>75</v>
      </c>
      <c r="B50" s="46"/>
      <c r="C50" s="104">
        <v>1.6986108023221901E+18</v>
      </c>
      <c r="D50" s="34"/>
      <c r="E50" s="10"/>
      <c r="F50" s="10"/>
      <c r="G50" s="10"/>
    </row>
    <row r="51" spans="1:7">
      <c r="A51" s="4" t="s">
        <v>290</v>
      </c>
      <c r="B51" s="46"/>
      <c r="C51" s="105" t="s">
        <v>2020</v>
      </c>
      <c r="D51" s="14"/>
      <c r="E51" s="10"/>
      <c r="F51" s="10"/>
      <c r="G51" s="10"/>
    </row>
    <row r="52" spans="1:7">
      <c r="A52" s="4" t="s">
        <v>58</v>
      </c>
      <c r="B52" s="46" t="s">
        <v>59</v>
      </c>
      <c r="C52" s="41">
        <v>1203030258</v>
      </c>
      <c r="D52" s="19" t="s">
        <v>67</v>
      </c>
      <c r="E52" s="10"/>
      <c r="F52" s="10"/>
      <c r="G52" s="10"/>
    </row>
    <row r="53" spans="1:7">
      <c r="A53" s="4" t="s">
        <v>60</v>
      </c>
      <c r="B53" s="46" t="s">
        <v>61</v>
      </c>
      <c r="C53" s="106" t="s">
        <v>778</v>
      </c>
      <c r="D53" s="18" t="s">
        <v>63</v>
      </c>
      <c r="E53" s="10"/>
      <c r="F53" s="10"/>
      <c r="G53" s="10"/>
    </row>
    <row r="54" spans="1:7">
      <c r="A54" s="4" t="s">
        <v>64</v>
      </c>
      <c r="B54" s="46" t="s">
        <v>65</v>
      </c>
      <c r="C54" s="5" t="s">
        <v>2021</v>
      </c>
      <c r="D54" s="14"/>
      <c r="E54" s="10"/>
      <c r="F54" s="10"/>
      <c r="G54" s="10"/>
    </row>
    <row r="55" spans="1:7">
      <c r="A55" s="4" t="s">
        <v>295</v>
      </c>
      <c r="B55" s="4" t="s">
        <v>2036</v>
      </c>
      <c r="C55" s="5" t="s">
        <v>2022</v>
      </c>
      <c r="D55" s="18"/>
      <c r="E55" s="10"/>
      <c r="F55" s="10"/>
      <c r="G55" s="10"/>
    </row>
    <row r="56" spans="1:7">
      <c r="A56" s="4" t="s">
        <v>68</v>
      </c>
      <c r="B56" s="46" t="s">
        <v>69</v>
      </c>
      <c r="C56" s="5" t="s">
        <v>385</v>
      </c>
      <c r="D56" s="26"/>
      <c r="E56" s="10"/>
      <c r="F56" s="10"/>
      <c r="G56" s="10"/>
    </row>
    <row r="57" spans="1:7">
      <c r="A57" s="4" t="s">
        <v>72</v>
      </c>
      <c r="B57" s="46"/>
      <c r="C57" s="5" t="s">
        <v>258</v>
      </c>
      <c r="D57" s="45"/>
      <c r="E57" s="10"/>
      <c r="F57" s="10"/>
      <c r="G57" s="10"/>
    </row>
    <row r="58" spans="1:7">
      <c r="A58" s="4" t="s">
        <v>123</v>
      </c>
      <c r="B58" s="4" t="s">
        <v>2037</v>
      </c>
      <c r="C58" s="41">
        <v>12</v>
      </c>
      <c r="D58" s="45"/>
      <c r="E58" s="10"/>
      <c r="F58" s="10"/>
      <c r="G58" s="10"/>
    </row>
    <row r="59" spans="1:7">
      <c r="A59" s="4" t="s">
        <v>110</v>
      </c>
      <c r="B59" s="4" t="s">
        <v>2038</v>
      </c>
      <c r="C59" s="5" t="s">
        <v>2023</v>
      </c>
      <c r="D59" s="45"/>
      <c r="E59" s="10"/>
      <c r="F59" s="10"/>
      <c r="G59" s="10"/>
    </row>
    <row r="60" spans="1:7">
      <c r="A60" s="4" t="s">
        <v>125</v>
      </c>
      <c r="B60" s="4" t="s">
        <v>2039</v>
      </c>
      <c r="C60" s="5" t="s">
        <v>127</v>
      </c>
      <c r="D60" s="19" t="s">
        <v>128</v>
      </c>
      <c r="E60" s="10"/>
      <c r="F60" s="10"/>
      <c r="G60" s="10"/>
    </row>
    <row r="61" spans="1:7" ht="31.2">
      <c r="A61" s="4" t="s">
        <v>113</v>
      </c>
      <c r="B61" s="46" t="s">
        <v>786</v>
      </c>
      <c r="C61" s="41">
        <v>401674189</v>
      </c>
      <c r="D61" s="19" t="s">
        <v>115</v>
      </c>
      <c r="E61" s="10"/>
      <c r="F61" s="10"/>
      <c r="G61" s="10"/>
    </row>
    <row r="62" spans="1:7">
      <c r="A62" s="4" t="s">
        <v>373</v>
      </c>
      <c r="B62" s="46"/>
      <c r="C62" s="5" t="s">
        <v>1863</v>
      </c>
      <c r="D62" s="45"/>
      <c r="E62" s="10"/>
      <c r="F62" s="10"/>
      <c r="G62" s="10"/>
    </row>
    <row r="63" spans="1:7">
      <c r="A63" s="4" t="s">
        <v>77</v>
      </c>
      <c r="B63" s="46" t="s">
        <v>78</v>
      </c>
      <c r="C63" s="5" t="s">
        <v>218</v>
      </c>
      <c r="D63" s="19" t="s">
        <v>80</v>
      </c>
      <c r="E63" s="10"/>
      <c r="F63" s="10"/>
      <c r="G63" s="10"/>
    </row>
    <row r="64" spans="1:7">
      <c r="A64" s="4" t="s">
        <v>81</v>
      </c>
      <c r="B64" s="46" t="s">
        <v>82</v>
      </c>
      <c r="C64" s="41">
        <v>52602</v>
      </c>
      <c r="D64" s="19" t="s">
        <v>83</v>
      </c>
      <c r="E64" s="10"/>
      <c r="F64" s="10"/>
      <c r="G64" s="10"/>
    </row>
    <row r="65" spans="1:7">
      <c r="A65" s="4" t="s">
        <v>136</v>
      </c>
      <c r="B65" s="4" t="s">
        <v>137</v>
      </c>
      <c r="C65" s="5" t="s">
        <v>261</v>
      </c>
      <c r="D65" s="19"/>
      <c r="E65" s="10"/>
      <c r="F65" s="10"/>
      <c r="G65" s="10"/>
    </row>
    <row r="66" spans="1:7">
      <c r="A66" s="4" t="s">
        <v>104</v>
      </c>
      <c r="B66" s="46"/>
      <c r="C66" s="5" t="s">
        <v>2024</v>
      </c>
      <c r="D66" s="19"/>
      <c r="E66" s="10"/>
      <c r="F66" s="10"/>
      <c r="G66" s="10"/>
    </row>
    <row r="67" spans="1:7">
      <c r="A67" s="4" t="s">
        <v>91</v>
      </c>
      <c r="B67" s="4" t="s">
        <v>92</v>
      </c>
      <c r="C67" s="5" t="s">
        <v>221</v>
      </c>
      <c r="D67" s="19" t="s">
        <v>94</v>
      </c>
      <c r="E67" s="10"/>
      <c r="F67" s="10"/>
      <c r="G67" s="10"/>
    </row>
    <row r="68" spans="1:7">
      <c r="A68" s="4" t="s">
        <v>95</v>
      </c>
      <c r="B68" s="4" t="s">
        <v>96</v>
      </c>
      <c r="C68" s="41">
        <v>443</v>
      </c>
      <c r="D68" s="19" t="s">
        <v>97</v>
      </c>
      <c r="E68" s="10"/>
      <c r="F68" s="10"/>
      <c r="G68" s="10"/>
    </row>
    <row r="69" spans="1:7">
      <c r="A69" s="4" t="s">
        <v>133</v>
      </c>
      <c r="B69" s="4" t="s">
        <v>134</v>
      </c>
      <c r="C69" s="5" t="s">
        <v>138</v>
      </c>
      <c r="D69" s="19"/>
      <c r="E69" s="10"/>
      <c r="F69" s="10"/>
      <c r="G69" s="10"/>
    </row>
    <row r="70" spans="1:7">
      <c r="A70" s="4" t="s">
        <v>107</v>
      </c>
      <c r="B70" s="46"/>
      <c r="C70" s="5" t="s">
        <v>2025</v>
      </c>
      <c r="D70" s="19"/>
      <c r="E70" s="10"/>
      <c r="F70" s="10"/>
      <c r="G70" s="10"/>
    </row>
    <row r="71" spans="1:7">
      <c r="A71" s="4" t="s">
        <v>84</v>
      </c>
      <c r="B71" s="4" t="s">
        <v>85</v>
      </c>
      <c r="C71" s="5" t="s">
        <v>1108</v>
      </c>
      <c r="D71" s="19" t="s">
        <v>87</v>
      </c>
      <c r="E71" s="10"/>
      <c r="F71" s="10"/>
      <c r="G71" s="10"/>
    </row>
    <row r="72" spans="1:7">
      <c r="A72" s="4" t="s">
        <v>88</v>
      </c>
      <c r="B72" s="4" t="s">
        <v>2040</v>
      </c>
      <c r="C72" s="5" t="s">
        <v>90</v>
      </c>
      <c r="D72" s="19"/>
      <c r="E72" s="10"/>
      <c r="F72" s="10"/>
      <c r="G72" s="10"/>
    </row>
    <row r="73" spans="1:7">
      <c r="A73" s="4" t="s">
        <v>98</v>
      </c>
      <c r="B73" s="4" t="s">
        <v>99</v>
      </c>
      <c r="C73" s="5" t="s">
        <v>1108</v>
      </c>
      <c r="D73" s="19" t="s">
        <v>101</v>
      </c>
      <c r="E73" s="10"/>
      <c r="F73" s="10"/>
      <c r="G73" s="10"/>
    </row>
    <row r="74" spans="1:7">
      <c r="A74" s="4" t="s">
        <v>102</v>
      </c>
      <c r="B74" s="4" t="s">
        <v>2041</v>
      </c>
      <c r="C74" s="5" t="s">
        <v>90</v>
      </c>
      <c r="D74" s="19"/>
      <c r="E74" s="10"/>
      <c r="F74" s="10"/>
      <c r="G74" s="10"/>
    </row>
    <row r="75" spans="1:7">
      <c r="A75" s="4" t="s">
        <v>116</v>
      </c>
      <c r="B75" s="4" t="s">
        <v>117</v>
      </c>
      <c r="C75" s="5">
        <v>6</v>
      </c>
      <c r="D75" s="19" t="s">
        <v>118</v>
      </c>
      <c r="E75" s="10"/>
      <c r="F75" s="10"/>
      <c r="G75" s="10"/>
    </row>
    <row r="76" spans="1:7">
      <c r="A76" s="4" t="s">
        <v>129</v>
      </c>
      <c r="B76" s="46"/>
      <c r="C76" s="5" t="s">
        <v>266</v>
      </c>
      <c r="D76" s="45" t="s">
        <v>132</v>
      </c>
      <c r="E76" s="10"/>
      <c r="F76" s="10"/>
      <c r="G76" s="10"/>
    </row>
    <row r="77" spans="1:7" ht="31.2">
      <c r="A77" s="4" t="s">
        <v>768</v>
      </c>
      <c r="B77" s="46"/>
      <c r="C77" s="107" t="s">
        <v>2026</v>
      </c>
      <c r="D77" s="19" t="s">
        <v>771</v>
      </c>
      <c r="E77" s="10"/>
      <c r="F77" s="10"/>
      <c r="G77" s="10"/>
    </row>
    <row r="78" spans="1:7">
      <c r="A78" s="4" t="s">
        <v>954</v>
      </c>
      <c r="B78" s="46"/>
      <c r="C78" s="5" t="s">
        <v>2027</v>
      </c>
      <c r="D78" s="45" t="s">
        <v>71</v>
      </c>
      <c r="E78" s="10"/>
      <c r="F78" s="10"/>
      <c r="G78" s="10"/>
    </row>
    <row r="79" spans="1:7" ht="31.2">
      <c r="A79" s="4" t="s">
        <v>119</v>
      </c>
      <c r="B79" s="46"/>
      <c r="C79" s="5" t="s">
        <v>2028</v>
      </c>
      <c r="D79" s="19" t="s">
        <v>2042</v>
      </c>
      <c r="E79" s="10"/>
      <c r="F79" s="10"/>
      <c r="G79" s="10"/>
    </row>
    <row r="80" spans="1:7">
      <c r="A80" s="4" t="s">
        <v>793</v>
      </c>
      <c r="B80" s="46"/>
      <c r="C80" s="5" t="s">
        <v>2029</v>
      </c>
      <c r="D80" s="19"/>
      <c r="E80" s="10"/>
      <c r="F80" s="10"/>
      <c r="G80" s="10"/>
    </row>
    <row r="81" spans="1:8">
      <c r="A81" s="4" t="s">
        <v>817</v>
      </c>
      <c r="B81" s="46"/>
      <c r="C81" s="5" t="s">
        <v>2030</v>
      </c>
      <c r="D81" s="45" t="s">
        <v>820</v>
      </c>
      <c r="E81" s="10"/>
      <c r="F81" s="10"/>
      <c r="G81" s="10"/>
    </row>
    <row r="82" spans="1:8">
      <c r="A82" s="4" t="s">
        <v>2031</v>
      </c>
      <c r="B82" s="46"/>
      <c r="C82" s="5" t="s">
        <v>2034</v>
      </c>
      <c r="D82" s="45"/>
      <c r="E82" s="10"/>
      <c r="F82" s="10"/>
      <c r="G82" s="10"/>
    </row>
    <row r="83" spans="1:8">
      <c r="A83" s="4" t="s">
        <v>1021</v>
      </c>
      <c r="B83" s="46"/>
      <c r="C83" s="5">
        <v>10000057</v>
      </c>
      <c r="D83" s="45"/>
      <c r="E83" s="10"/>
      <c r="F83" s="10"/>
      <c r="G83" s="10"/>
    </row>
    <row r="84" spans="1:8">
      <c r="A84" s="4" t="s">
        <v>309</v>
      </c>
      <c r="B84" s="46"/>
      <c r="C84" s="5" t="s">
        <v>2033</v>
      </c>
      <c r="D84" s="45" t="s">
        <v>312</v>
      </c>
      <c r="E84" s="10"/>
      <c r="F84" s="10"/>
      <c r="G84" s="10"/>
    </row>
    <row r="85" spans="1:8">
      <c r="A85" s="13"/>
      <c r="B85" s="10"/>
      <c r="C85" s="10"/>
      <c r="D85" s="10"/>
      <c r="E85" s="10"/>
      <c r="F85" s="10"/>
      <c r="G85" s="10"/>
      <c r="H85" s="10"/>
    </row>
    <row r="86" spans="1:8">
      <c r="A86" s="13"/>
      <c r="B86" s="10"/>
      <c r="C86" s="10"/>
      <c r="D86" s="10"/>
      <c r="E86" s="10"/>
      <c r="F86" s="10"/>
      <c r="G86" s="10"/>
      <c r="H86" s="10"/>
    </row>
    <row r="87" spans="1:8">
      <c r="A87" s="113" t="s">
        <v>196</v>
      </c>
      <c r="B87" s="113"/>
      <c r="C87" s="113"/>
      <c r="D87" s="113"/>
      <c r="E87" s="113"/>
      <c r="F87" s="113"/>
      <c r="G87" s="113"/>
      <c r="H87" s="113"/>
    </row>
    <row r="88" spans="1:8">
      <c r="A88" s="14" t="s">
        <v>1432</v>
      </c>
      <c r="B88" s="14" t="s">
        <v>197</v>
      </c>
      <c r="C88" s="14" t="s">
        <v>198</v>
      </c>
      <c r="D88" s="14" t="s">
        <v>199</v>
      </c>
      <c r="E88" s="14" t="s">
        <v>200</v>
      </c>
      <c r="F88" s="14" t="s">
        <v>202</v>
      </c>
      <c r="G88" s="14" t="s">
        <v>21</v>
      </c>
      <c r="H88" s="14" t="s">
        <v>203</v>
      </c>
    </row>
    <row r="89" spans="1:8" ht="31.2">
      <c r="A89" s="19">
        <v>30248</v>
      </c>
      <c r="B89" s="26" t="s">
        <v>784</v>
      </c>
      <c r="C89" s="26"/>
      <c r="D89" s="26"/>
      <c r="E89" s="26"/>
      <c r="F89" s="103" t="s">
        <v>2045</v>
      </c>
      <c r="G89" s="4" t="s">
        <v>2046</v>
      </c>
      <c r="H89" s="26"/>
    </row>
  </sheetData>
  <mergeCells count="8">
    <mergeCell ref="A44:D44"/>
    <mergeCell ref="A87:H87"/>
    <mergeCell ref="A11:B11"/>
    <mergeCell ref="A18:B18"/>
    <mergeCell ref="A28:B28"/>
    <mergeCell ref="A30:B30"/>
    <mergeCell ref="A32:B32"/>
    <mergeCell ref="A34:B34"/>
  </mergeCells>
  <dataValidations count="5">
    <dataValidation type="list" allowBlank="1" showInputMessage="1" showErrorMessage="1" sqref="B22" xr:uid="{F096B62F-0014-4D91-8BB3-58371706BB1F}">
      <formula1>"Tags Normal,Tags Reversed,Local"</formula1>
    </dataValidation>
    <dataValidation type="list" allowBlank="1" showInputMessage="1" showErrorMessage="1" sqref="B29 B31 B33 B35 B19:B21" xr:uid="{50D8B2D4-AF8E-4650-B8C2-9593B815F6E1}">
      <formula1>"Checked,Unchecked"</formula1>
    </dataValidation>
    <dataValidation type="list" allowBlank="1" showInputMessage="1" showErrorMessage="1" sqref="B25" xr:uid="{F5611D4C-1BD2-4741-8793-56B8992C690F}">
      <formula1>"N/A,Tags Normal,Tags Reversed,Direct Assignment"</formula1>
    </dataValidation>
    <dataValidation type="list" allowBlank="1" showInputMessage="1" showErrorMessage="1" sqref="B37" xr:uid="{B1A3E322-DB0C-4367-A430-3E91350EE89C}">
      <formula1>"JSON,XML,CEF,LEEF,Key-Value Pairs,Delimited,Limited Structure"</formula1>
    </dataValidation>
    <dataValidation type="list" allowBlank="1" showInputMessage="1" showErrorMessage="1" sqref="B23:B24" xr:uid="{22F58C22-2B06-46BC-9C7A-EF144DE7E4A0}">
      <formula1>"N/A,Tags,Log Message Source"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A9FA-0568-4248-9B14-A6B8BA30982D}">
  <dimension ref="A1:H82"/>
  <sheetViews>
    <sheetView workbookViewId="0">
      <selection activeCell="B12" sqref="B12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1815</v>
      </c>
    </row>
    <row r="4" spans="1:8">
      <c r="A4" s="6" t="s">
        <v>10</v>
      </c>
      <c r="B4" s="7" t="s">
        <v>466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1992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468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1816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358.8">
      <c r="A41" s="8" t="s">
        <v>48</v>
      </c>
      <c r="B41" s="11" t="s">
        <v>1872</v>
      </c>
      <c r="C41" s="13" t="s">
        <v>1873</v>
      </c>
      <c r="D41" s="13"/>
      <c r="E41" s="13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34" t="s">
        <v>1795</v>
      </c>
      <c r="B46" s="46"/>
      <c r="C46" s="76">
        <v>1692106162</v>
      </c>
      <c r="D46" s="19"/>
      <c r="E46" s="10"/>
      <c r="F46" s="10"/>
      <c r="G46" s="10"/>
    </row>
    <row r="47" spans="1:8">
      <c r="A47" s="34" t="s">
        <v>1113</v>
      </c>
      <c r="B47" s="46"/>
      <c r="C47" s="76" t="s">
        <v>1832</v>
      </c>
      <c r="D47" s="19"/>
      <c r="E47" s="10"/>
      <c r="F47" s="10"/>
      <c r="G47" s="10"/>
    </row>
    <row r="48" spans="1:8">
      <c r="A48" s="34" t="s">
        <v>1114</v>
      </c>
      <c r="B48" s="46"/>
      <c r="C48" s="76" t="s">
        <v>1833</v>
      </c>
      <c r="D48" s="19"/>
      <c r="E48" s="10"/>
      <c r="F48" s="10"/>
      <c r="G48" s="10"/>
    </row>
    <row r="49" spans="1:7">
      <c r="A49" s="34" t="s">
        <v>72</v>
      </c>
      <c r="B49" s="46"/>
      <c r="C49" s="76" t="s">
        <v>1834</v>
      </c>
      <c r="D49" s="18"/>
      <c r="E49" s="10"/>
      <c r="F49" s="10"/>
      <c r="G49" s="10"/>
    </row>
    <row r="50" spans="1:7">
      <c r="A50" s="34" t="s">
        <v>1817</v>
      </c>
      <c r="B50" s="46"/>
      <c r="C50" s="76">
        <v>1692102562</v>
      </c>
      <c r="D50" s="26"/>
      <c r="E50" s="10"/>
      <c r="F50" s="10"/>
      <c r="G50" s="10"/>
    </row>
    <row r="51" spans="1:7">
      <c r="A51" s="34" t="s">
        <v>1818</v>
      </c>
      <c r="B51" s="46"/>
      <c r="C51" s="76" t="s">
        <v>1835</v>
      </c>
      <c r="D51" s="19"/>
      <c r="E51" s="10"/>
      <c r="F51" s="10"/>
      <c r="G51" s="10"/>
    </row>
    <row r="52" spans="1:7">
      <c r="A52" s="34" t="s">
        <v>54</v>
      </c>
      <c r="B52" s="46"/>
      <c r="C52" s="93">
        <v>45153</v>
      </c>
      <c r="D52" s="19"/>
      <c r="E52" s="10"/>
      <c r="F52" s="10"/>
      <c r="G52" s="10"/>
    </row>
    <row r="53" spans="1:7">
      <c r="A53" s="34" t="s">
        <v>56</v>
      </c>
      <c r="B53" s="46"/>
      <c r="C53" s="94">
        <v>0.56206018518518519</v>
      </c>
      <c r="D53" s="19"/>
      <c r="E53" s="10"/>
      <c r="F53" s="10"/>
      <c r="G53" s="10"/>
    </row>
    <row r="54" spans="1:7">
      <c r="A54" s="34" t="s">
        <v>1809</v>
      </c>
      <c r="B54" s="46"/>
      <c r="C54" s="76">
        <v>2</v>
      </c>
      <c r="D54" s="19" t="s">
        <v>1810</v>
      </c>
      <c r="E54" s="10"/>
      <c r="F54" s="10"/>
      <c r="G54" s="10"/>
    </row>
    <row r="55" spans="1:7">
      <c r="A55" s="34" t="s">
        <v>1819</v>
      </c>
      <c r="B55" s="46"/>
      <c r="C55" s="76">
        <v>96955</v>
      </c>
      <c r="D55" s="19"/>
      <c r="E55" s="10"/>
      <c r="F55" s="10"/>
      <c r="G55" s="10"/>
    </row>
    <row r="56" spans="1:7">
      <c r="A56" s="34" t="s">
        <v>60</v>
      </c>
      <c r="B56" s="46"/>
      <c r="C56" s="76" t="s">
        <v>1836</v>
      </c>
      <c r="D56" s="19" t="s">
        <v>63</v>
      </c>
      <c r="E56" s="10"/>
      <c r="F56" s="10"/>
      <c r="G56" s="10"/>
    </row>
    <row r="57" spans="1:7">
      <c r="A57" s="34" t="s">
        <v>64</v>
      </c>
      <c r="B57" s="46"/>
      <c r="C57" s="76" t="s">
        <v>1837</v>
      </c>
      <c r="D57" s="19"/>
      <c r="E57" s="10"/>
      <c r="F57" s="10"/>
      <c r="G57" s="10"/>
    </row>
    <row r="58" spans="1:7">
      <c r="A58" s="34" t="s">
        <v>295</v>
      </c>
      <c r="B58" s="46"/>
      <c r="C58" s="76" t="s">
        <v>1838</v>
      </c>
      <c r="D58" s="19"/>
      <c r="E58" s="10"/>
      <c r="F58" s="10"/>
      <c r="G58" s="10"/>
    </row>
    <row r="59" spans="1:7">
      <c r="A59" s="34" t="s">
        <v>68</v>
      </c>
      <c r="B59" s="46"/>
      <c r="C59" s="76" t="s">
        <v>1839</v>
      </c>
      <c r="D59" s="19" t="s">
        <v>71</v>
      </c>
      <c r="E59" s="10"/>
      <c r="F59" s="10"/>
      <c r="G59" s="10"/>
    </row>
    <row r="60" spans="1:7">
      <c r="A60" s="34" t="s">
        <v>1820</v>
      </c>
      <c r="B60" s="46"/>
      <c r="C60" s="76" t="s">
        <v>1840</v>
      </c>
      <c r="D60" s="19"/>
      <c r="E60" s="10"/>
      <c r="F60" s="10"/>
      <c r="G60" s="10"/>
    </row>
    <row r="61" spans="1:7">
      <c r="A61" s="34" t="s">
        <v>852</v>
      </c>
      <c r="B61" s="46"/>
      <c r="C61" s="76" t="s">
        <v>1841</v>
      </c>
      <c r="D61" s="19" t="s">
        <v>932</v>
      </c>
      <c r="E61" s="10"/>
      <c r="F61" s="10"/>
      <c r="G61" s="10"/>
    </row>
    <row r="62" spans="1:7">
      <c r="A62" s="34" t="s">
        <v>1821</v>
      </c>
      <c r="B62" s="46"/>
      <c r="C62" s="76" t="s">
        <v>1842</v>
      </c>
      <c r="D62" s="19" t="s">
        <v>1855</v>
      </c>
      <c r="E62" s="10"/>
      <c r="F62" s="10"/>
      <c r="G62" s="10"/>
    </row>
    <row r="63" spans="1:7">
      <c r="A63" s="34" t="s">
        <v>1822</v>
      </c>
      <c r="B63" s="46"/>
      <c r="C63" s="76" t="s">
        <v>1843</v>
      </c>
      <c r="D63" s="19" t="s">
        <v>80</v>
      </c>
      <c r="E63" s="10"/>
      <c r="F63" s="10"/>
      <c r="G63" s="10"/>
    </row>
    <row r="64" spans="1:7">
      <c r="A64" s="34" t="s">
        <v>1823</v>
      </c>
      <c r="B64" s="46"/>
      <c r="C64" s="76" t="s">
        <v>1844</v>
      </c>
      <c r="D64" s="19" t="s">
        <v>190</v>
      </c>
      <c r="E64" s="10"/>
      <c r="F64" s="10"/>
      <c r="G64" s="10"/>
    </row>
    <row r="65" spans="1:8">
      <c r="A65" s="34" t="s">
        <v>1824</v>
      </c>
      <c r="B65" s="46"/>
      <c r="C65" s="76" t="s">
        <v>1834</v>
      </c>
      <c r="D65" s="19"/>
      <c r="E65" s="10"/>
      <c r="F65" s="10"/>
      <c r="G65" s="10"/>
    </row>
    <row r="66" spans="1:8">
      <c r="A66" s="34" t="s">
        <v>1825</v>
      </c>
      <c r="B66" s="46"/>
      <c r="C66" s="76" t="s">
        <v>1845</v>
      </c>
      <c r="D66" s="19"/>
      <c r="E66" s="10"/>
      <c r="F66" s="10"/>
      <c r="G66" s="10"/>
    </row>
    <row r="67" spans="1:8">
      <c r="A67" s="34" t="s">
        <v>1826</v>
      </c>
      <c r="B67" s="46"/>
      <c r="C67" s="76" t="s">
        <v>1846</v>
      </c>
      <c r="D67" s="19"/>
      <c r="E67" s="10"/>
      <c r="F67" s="10"/>
      <c r="G67" s="10"/>
    </row>
    <row r="68" spans="1:8">
      <c r="A68" s="34" t="s">
        <v>1827</v>
      </c>
      <c r="B68" s="46"/>
      <c r="C68" s="76" t="s">
        <v>1833</v>
      </c>
      <c r="D68" s="19"/>
      <c r="E68" s="10"/>
      <c r="F68" s="10"/>
      <c r="G68" s="10"/>
    </row>
    <row r="69" spans="1:8">
      <c r="A69" s="34" t="s">
        <v>1828</v>
      </c>
      <c r="B69" s="46"/>
      <c r="C69" s="76" t="s">
        <v>1847</v>
      </c>
      <c r="D69" s="19" t="s">
        <v>128</v>
      </c>
      <c r="E69" s="10"/>
      <c r="F69" s="10"/>
      <c r="G69" s="10"/>
    </row>
    <row r="70" spans="1:8" ht="31.2">
      <c r="A70" s="34" t="s">
        <v>1829</v>
      </c>
      <c r="B70" s="46"/>
      <c r="C70" s="45" t="s">
        <v>1848</v>
      </c>
      <c r="D70" s="19" t="s">
        <v>298</v>
      </c>
      <c r="E70" s="10"/>
      <c r="F70" s="10"/>
      <c r="G70" s="10"/>
    </row>
    <row r="71" spans="1:8">
      <c r="A71" s="34" t="s">
        <v>353</v>
      </c>
      <c r="B71" s="46"/>
      <c r="C71" s="76" t="s">
        <v>1849</v>
      </c>
      <c r="D71" s="19" t="s">
        <v>356</v>
      </c>
      <c r="E71" s="10"/>
      <c r="F71" s="10"/>
      <c r="G71" s="10"/>
    </row>
    <row r="72" spans="1:8">
      <c r="A72" s="34" t="s">
        <v>309</v>
      </c>
      <c r="B72" s="46"/>
      <c r="C72" s="76" t="s">
        <v>1850</v>
      </c>
      <c r="D72" s="19" t="s">
        <v>122</v>
      </c>
      <c r="E72" s="10"/>
      <c r="F72" s="10"/>
      <c r="G72" s="10"/>
    </row>
    <row r="73" spans="1:8">
      <c r="A73" s="34" t="s">
        <v>1830</v>
      </c>
      <c r="B73" s="46"/>
      <c r="C73" s="76" t="s">
        <v>1851</v>
      </c>
      <c r="D73" s="19"/>
      <c r="E73" s="10"/>
      <c r="F73" s="10"/>
      <c r="G73" s="10"/>
    </row>
    <row r="74" spans="1:8">
      <c r="A74" s="34" t="s">
        <v>316</v>
      </c>
      <c r="B74" s="46"/>
      <c r="C74" s="76" t="s">
        <v>1852</v>
      </c>
      <c r="D74" s="19" t="s">
        <v>319</v>
      </c>
      <c r="E74" s="10"/>
      <c r="F74" s="10"/>
      <c r="G74" s="10"/>
    </row>
    <row r="75" spans="1:8">
      <c r="A75" s="34" t="s">
        <v>1831</v>
      </c>
      <c r="B75" s="46"/>
      <c r="C75" s="76" t="s">
        <v>1853</v>
      </c>
      <c r="D75" s="19"/>
      <c r="E75" s="10"/>
      <c r="F75" s="10"/>
      <c r="G75" s="10"/>
    </row>
    <row r="76" spans="1:8">
      <c r="A76" s="34" t="s">
        <v>290</v>
      </c>
      <c r="B76" s="46"/>
      <c r="C76" s="67" t="s">
        <v>1854</v>
      </c>
      <c r="D76" s="19"/>
      <c r="E76" s="10"/>
      <c r="F76" s="10"/>
      <c r="G76" s="10"/>
    </row>
    <row r="77" spans="1:8">
      <c r="A77" s="13"/>
      <c r="B77" s="10"/>
      <c r="C77" s="10"/>
      <c r="D77" s="10"/>
      <c r="E77" s="10"/>
      <c r="F77" s="10"/>
      <c r="G77" s="10"/>
      <c r="H77" s="10"/>
    </row>
    <row r="78" spans="1:8">
      <c r="A78" s="13"/>
      <c r="B78" s="10"/>
      <c r="C78" s="10"/>
      <c r="D78" s="10"/>
      <c r="E78" s="10"/>
      <c r="F78" s="10"/>
      <c r="G78" s="10"/>
      <c r="H78" s="10"/>
    </row>
    <row r="79" spans="1:8">
      <c r="A79" s="113" t="s">
        <v>196</v>
      </c>
      <c r="B79" s="113"/>
      <c r="C79" s="113"/>
      <c r="D79" s="113"/>
      <c r="E79" s="113"/>
      <c r="F79" s="113"/>
      <c r="G79" s="113"/>
      <c r="H79" s="113"/>
    </row>
    <row r="80" spans="1:8">
      <c r="A80" s="14" t="s">
        <v>1432</v>
      </c>
      <c r="B80" s="14" t="s">
        <v>197</v>
      </c>
      <c r="C80" s="14" t="s">
        <v>198</v>
      </c>
      <c r="D80" s="14" t="s">
        <v>199</v>
      </c>
      <c r="E80" s="14" t="s">
        <v>200</v>
      </c>
      <c r="F80" s="14" t="s">
        <v>202</v>
      </c>
      <c r="G80" s="14" t="s">
        <v>21</v>
      </c>
      <c r="H80" s="14" t="s">
        <v>203</v>
      </c>
    </row>
    <row r="81" spans="1:8">
      <c r="A81" s="77"/>
      <c r="B81" s="83"/>
      <c r="C81" s="19"/>
      <c r="D81" s="19"/>
      <c r="E81" s="19"/>
      <c r="F81" s="85"/>
      <c r="G81" s="4"/>
      <c r="H81" s="19"/>
    </row>
    <row r="82" spans="1:8">
      <c r="A82" s="77"/>
      <c r="B82" s="83"/>
      <c r="C82" s="5"/>
      <c r="D82" s="5"/>
      <c r="E82" s="5"/>
      <c r="F82" s="85"/>
      <c r="G82" s="84"/>
      <c r="H82" s="5"/>
    </row>
  </sheetData>
  <mergeCells count="8">
    <mergeCell ref="A44:D44"/>
    <mergeCell ref="A79:H79"/>
    <mergeCell ref="A11:B11"/>
    <mergeCell ref="A18:B18"/>
    <mergeCell ref="A28:B28"/>
    <mergeCell ref="A30:B30"/>
    <mergeCell ref="A32:B32"/>
    <mergeCell ref="A34:B34"/>
  </mergeCells>
  <conditionalFormatting sqref="B68">
    <cfRule type="duplicateValues" dxfId="3" priority="1"/>
  </conditionalFormatting>
  <dataValidations count="5">
    <dataValidation type="list" allowBlank="1" showInputMessage="1" showErrorMessage="1" sqref="B23:B24" xr:uid="{4552C2FC-8DF0-433B-A287-DE358F3C648E}">
      <formula1>"N/A,Tags,Log Message Source"</formula1>
    </dataValidation>
    <dataValidation type="list" allowBlank="1" showInputMessage="1" showErrorMessage="1" sqref="B37" xr:uid="{E2AD85D2-0831-4968-8CAF-1A7066D8158B}">
      <formula1>"JSON,XML,CEF,LEEF,Key-Value Pairs,Delimited,Limited Structure"</formula1>
    </dataValidation>
    <dataValidation type="list" allowBlank="1" showInputMessage="1" showErrorMessage="1" sqref="B25" xr:uid="{951583D7-433D-42BF-BCE5-7225ABB9050B}">
      <formula1>"N/A,Tags Normal,Tags Reversed,Direct Assignment"</formula1>
    </dataValidation>
    <dataValidation type="list" allowBlank="1" showInputMessage="1" showErrorMessage="1" sqref="B29 B31 B33 B35 B19:B21" xr:uid="{64A891AB-CA32-45E8-A6A9-B12EE529E39C}">
      <formula1>"Checked,Unchecked"</formula1>
    </dataValidation>
    <dataValidation type="list" allowBlank="1" showInputMessage="1" showErrorMessage="1" sqref="B22" xr:uid="{3E44A5E5-1B23-4C12-B655-2E213FA568B1}">
      <formula1>"Tags Normal,Tags Reversed,Local"</formula1>
    </dataValidation>
  </dataValidation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BEC47-C065-4F4B-B157-E45B7557E2C8}">
  <dimension ref="A1:H80"/>
  <sheetViews>
    <sheetView workbookViewId="0">
      <selection activeCell="B12" sqref="B12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1815</v>
      </c>
    </row>
    <row r="4" spans="1:8">
      <c r="A4" s="6" t="s">
        <v>10</v>
      </c>
      <c r="B4" s="7" t="s">
        <v>338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1993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468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1877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327.60000000000002">
      <c r="A41" s="8" t="s">
        <v>48</v>
      </c>
      <c r="B41" s="11" t="s">
        <v>1875</v>
      </c>
      <c r="C41" s="13" t="s">
        <v>1876</v>
      </c>
      <c r="D41" s="13"/>
      <c r="E41" s="13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96" t="s">
        <v>1795</v>
      </c>
      <c r="B46" s="46"/>
      <c r="C46" s="76">
        <v>1692106164</v>
      </c>
      <c r="D46" s="19"/>
      <c r="E46" s="10"/>
      <c r="F46" s="10"/>
      <c r="G46" s="10"/>
    </row>
    <row r="47" spans="1:8">
      <c r="A47" s="96" t="s">
        <v>1113</v>
      </c>
      <c r="B47" s="46"/>
      <c r="C47" s="76" t="s">
        <v>1832</v>
      </c>
      <c r="D47" s="19"/>
      <c r="E47" s="10"/>
      <c r="F47" s="10"/>
      <c r="G47" s="10"/>
    </row>
    <row r="48" spans="1:8">
      <c r="A48" s="96" t="s">
        <v>1114</v>
      </c>
      <c r="B48" s="46"/>
      <c r="C48" s="76" t="s">
        <v>1833</v>
      </c>
      <c r="D48" s="19"/>
      <c r="E48" s="10"/>
      <c r="F48" s="10"/>
      <c r="G48" s="10"/>
    </row>
    <row r="49" spans="1:7">
      <c r="A49" s="96" t="s">
        <v>72</v>
      </c>
      <c r="B49" s="46"/>
      <c r="C49" s="76" t="s">
        <v>1834</v>
      </c>
      <c r="D49" s="18"/>
      <c r="E49" s="10"/>
      <c r="F49" s="10"/>
      <c r="G49" s="10"/>
    </row>
    <row r="50" spans="1:7">
      <c r="A50" s="96" t="s">
        <v>1817</v>
      </c>
      <c r="B50" s="46"/>
      <c r="C50" s="76">
        <v>1692102564</v>
      </c>
      <c r="D50" s="26"/>
      <c r="E50" s="10"/>
      <c r="F50" s="10"/>
      <c r="G50" s="10"/>
    </row>
    <row r="51" spans="1:7">
      <c r="A51" s="96" t="s">
        <v>1818</v>
      </c>
      <c r="B51" s="46"/>
      <c r="C51" s="76" t="s">
        <v>1835</v>
      </c>
      <c r="D51" s="19"/>
      <c r="E51" s="10"/>
      <c r="F51" s="10"/>
      <c r="G51" s="10"/>
    </row>
    <row r="52" spans="1:7">
      <c r="A52" s="96" t="s">
        <v>54</v>
      </c>
      <c r="B52" s="46"/>
      <c r="C52" s="93">
        <v>45153</v>
      </c>
      <c r="D52" s="19"/>
      <c r="E52" s="10"/>
      <c r="F52" s="10"/>
      <c r="G52" s="10"/>
    </row>
    <row r="53" spans="1:7">
      <c r="A53" s="96" t="s">
        <v>56</v>
      </c>
      <c r="B53" s="46"/>
      <c r="C53" s="94">
        <v>0.56208333333333338</v>
      </c>
      <c r="D53" s="19"/>
      <c r="E53" s="10"/>
      <c r="F53" s="10"/>
      <c r="G53" s="10"/>
    </row>
    <row r="54" spans="1:7">
      <c r="A54" s="96" t="s">
        <v>1809</v>
      </c>
      <c r="B54" s="46"/>
      <c r="C54" s="76">
        <v>2</v>
      </c>
      <c r="D54" s="19" t="s">
        <v>1810</v>
      </c>
      <c r="E54" s="10"/>
      <c r="F54" s="10"/>
      <c r="G54" s="10"/>
    </row>
    <row r="55" spans="1:7">
      <c r="A55" s="96" t="s">
        <v>1819</v>
      </c>
      <c r="B55" s="46"/>
      <c r="C55" s="76">
        <v>96823</v>
      </c>
      <c r="D55" s="19"/>
      <c r="E55" s="10"/>
      <c r="F55" s="10"/>
      <c r="G55" s="10"/>
    </row>
    <row r="56" spans="1:7">
      <c r="A56" s="96" t="s">
        <v>60</v>
      </c>
      <c r="B56" s="46"/>
      <c r="C56" s="76" t="s">
        <v>1836</v>
      </c>
      <c r="D56" s="19" t="s">
        <v>63</v>
      </c>
      <c r="E56" s="10"/>
      <c r="F56" s="10"/>
      <c r="G56" s="10"/>
    </row>
    <row r="57" spans="1:7">
      <c r="A57" s="96" t="s">
        <v>64</v>
      </c>
      <c r="B57" s="46"/>
      <c r="C57" s="76" t="s">
        <v>1878</v>
      </c>
      <c r="D57" s="19"/>
      <c r="E57" s="10"/>
      <c r="F57" s="10"/>
      <c r="G57" s="10"/>
    </row>
    <row r="58" spans="1:7">
      <c r="A58" s="96" t="s">
        <v>295</v>
      </c>
      <c r="B58" s="46"/>
      <c r="C58" s="76" t="s">
        <v>1838</v>
      </c>
      <c r="D58" s="19"/>
      <c r="E58" s="10"/>
      <c r="F58" s="10"/>
      <c r="G58" s="10"/>
    </row>
    <row r="59" spans="1:7">
      <c r="A59" s="96" t="s">
        <v>68</v>
      </c>
      <c r="B59" s="46"/>
      <c r="C59" s="76" t="s">
        <v>1839</v>
      </c>
      <c r="D59" s="19" t="s">
        <v>71</v>
      </c>
      <c r="E59" s="10"/>
      <c r="F59" s="10"/>
      <c r="G59" s="10"/>
    </row>
    <row r="60" spans="1:7">
      <c r="A60" s="96" t="s">
        <v>1820</v>
      </c>
      <c r="B60" s="46"/>
      <c r="C60" s="76" t="s">
        <v>1840</v>
      </c>
      <c r="D60" s="19"/>
      <c r="E60" s="10"/>
      <c r="F60" s="10"/>
      <c r="G60" s="10"/>
    </row>
    <row r="61" spans="1:7">
      <c r="A61" s="96" t="s">
        <v>852</v>
      </c>
      <c r="B61" s="46"/>
      <c r="C61" s="76" t="s">
        <v>1841</v>
      </c>
      <c r="D61" s="19" t="s">
        <v>932</v>
      </c>
      <c r="E61" s="10"/>
      <c r="F61" s="10"/>
      <c r="G61" s="10"/>
    </row>
    <row r="62" spans="1:7">
      <c r="A62" s="96" t="s">
        <v>1821</v>
      </c>
      <c r="B62" s="46"/>
      <c r="C62" s="76" t="s">
        <v>1842</v>
      </c>
      <c r="D62" s="19" t="s">
        <v>1855</v>
      </c>
      <c r="E62" s="10"/>
      <c r="F62" s="10"/>
      <c r="G62" s="10"/>
    </row>
    <row r="63" spans="1:7">
      <c r="A63" s="96" t="s">
        <v>1822</v>
      </c>
      <c r="B63" s="46"/>
      <c r="C63" s="76" t="s">
        <v>1843</v>
      </c>
      <c r="D63" s="19" t="s">
        <v>80</v>
      </c>
      <c r="E63" s="10"/>
      <c r="F63" s="10"/>
      <c r="G63" s="10"/>
    </row>
    <row r="64" spans="1:7">
      <c r="A64" s="96" t="s">
        <v>1823</v>
      </c>
      <c r="B64" s="46"/>
      <c r="C64" s="76" t="s">
        <v>1844</v>
      </c>
      <c r="D64" s="19" t="s">
        <v>190</v>
      </c>
      <c r="E64" s="10"/>
      <c r="F64" s="10"/>
      <c r="G64" s="10"/>
    </row>
    <row r="65" spans="1:8">
      <c r="A65" s="96" t="s">
        <v>1824</v>
      </c>
      <c r="B65" s="46"/>
      <c r="C65" s="76" t="s">
        <v>1834</v>
      </c>
      <c r="D65" s="19"/>
      <c r="E65" s="10"/>
      <c r="F65" s="10"/>
      <c r="G65" s="10"/>
    </row>
    <row r="66" spans="1:8">
      <c r="A66" s="96" t="s">
        <v>1825</v>
      </c>
      <c r="B66" s="46"/>
      <c r="C66" s="76" t="s">
        <v>1845</v>
      </c>
      <c r="D66" s="19"/>
      <c r="E66" s="10"/>
      <c r="F66" s="10"/>
      <c r="G66" s="10"/>
    </row>
    <row r="67" spans="1:8">
      <c r="A67" s="96" t="s">
        <v>1826</v>
      </c>
      <c r="B67" s="46"/>
      <c r="C67" s="76" t="s">
        <v>1846</v>
      </c>
      <c r="D67" s="19"/>
      <c r="E67" s="10"/>
      <c r="F67" s="10"/>
      <c r="G67" s="10"/>
    </row>
    <row r="68" spans="1:8">
      <c r="A68" s="96" t="s">
        <v>1827</v>
      </c>
      <c r="B68" s="46"/>
      <c r="C68" s="76" t="s">
        <v>1833</v>
      </c>
      <c r="D68" s="19"/>
      <c r="E68" s="10"/>
      <c r="F68" s="10"/>
      <c r="G68" s="10"/>
    </row>
    <row r="69" spans="1:8">
      <c r="A69" s="96" t="s">
        <v>1828</v>
      </c>
      <c r="B69" s="46"/>
      <c r="C69" s="76" t="s">
        <v>1847</v>
      </c>
      <c r="D69" s="19" t="s">
        <v>128</v>
      </c>
      <c r="E69" s="10"/>
      <c r="F69" s="10"/>
      <c r="G69" s="10"/>
    </row>
    <row r="70" spans="1:8" ht="31.2">
      <c r="A70" s="96" t="s">
        <v>1829</v>
      </c>
      <c r="B70" s="46"/>
      <c r="C70" s="45" t="s">
        <v>1848</v>
      </c>
      <c r="D70" s="19" t="s">
        <v>298</v>
      </c>
      <c r="E70" s="10"/>
      <c r="F70" s="10"/>
      <c r="G70" s="10"/>
    </row>
    <row r="71" spans="1:8">
      <c r="A71" s="96" t="s">
        <v>353</v>
      </c>
      <c r="B71" s="46"/>
      <c r="C71" s="76" t="s">
        <v>1849</v>
      </c>
      <c r="D71" s="19" t="s">
        <v>356</v>
      </c>
      <c r="E71" s="10"/>
      <c r="F71" s="10"/>
      <c r="G71" s="10"/>
    </row>
    <row r="72" spans="1:8">
      <c r="A72" s="96" t="s">
        <v>309</v>
      </c>
      <c r="B72" s="46"/>
      <c r="C72" s="76" t="s">
        <v>1879</v>
      </c>
      <c r="D72" s="19" t="s">
        <v>122</v>
      </c>
      <c r="E72" s="10"/>
      <c r="F72" s="10"/>
      <c r="G72" s="10"/>
    </row>
    <row r="73" spans="1:8">
      <c r="A73" s="96" t="s">
        <v>290</v>
      </c>
      <c r="B73" s="46"/>
      <c r="C73" s="67" t="s">
        <v>1854</v>
      </c>
      <c r="D73" s="19"/>
      <c r="E73" s="10"/>
      <c r="F73" s="10"/>
      <c r="G73" s="10"/>
    </row>
    <row r="74" spans="1:8">
      <c r="A74" s="26" t="s">
        <v>1768</v>
      </c>
      <c r="B74" s="46"/>
      <c r="C74" s="76" t="s">
        <v>1880</v>
      </c>
      <c r="D74" s="19"/>
      <c r="E74" s="10"/>
      <c r="F74" s="10"/>
      <c r="G74" s="10"/>
    </row>
    <row r="75" spans="1:8">
      <c r="A75" s="13"/>
      <c r="B75" s="10"/>
      <c r="C75" s="10"/>
      <c r="D75" s="10"/>
      <c r="E75" s="10"/>
      <c r="F75" s="10"/>
      <c r="G75" s="10"/>
      <c r="H75" s="10"/>
    </row>
    <row r="76" spans="1:8">
      <c r="A76" s="13"/>
      <c r="B76" s="10"/>
      <c r="C76" s="10"/>
      <c r="D76" s="10"/>
      <c r="E76" s="10"/>
      <c r="F76" s="10"/>
      <c r="G76" s="10"/>
      <c r="H76" s="10"/>
    </row>
    <row r="77" spans="1:8">
      <c r="A77" s="113" t="s">
        <v>196</v>
      </c>
      <c r="B77" s="113"/>
      <c r="C77" s="113"/>
      <c r="D77" s="113"/>
      <c r="E77" s="113"/>
      <c r="F77" s="113"/>
      <c r="G77" s="113"/>
      <c r="H77" s="113"/>
    </row>
    <row r="78" spans="1:8">
      <c r="A78" s="14" t="s">
        <v>1432</v>
      </c>
      <c r="B78" s="14" t="s">
        <v>197</v>
      </c>
      <c r="C78" s="14" t="s">
        <v>198</v>
      </c>
      <c r="D78" s="14" t="s">
        <v>199</v>
      </c>
      <c r="E78" s="14" t="s">
        <v>200</v>
      </c>
      <c r="F78" s="14" t="s">
        <v>202</v>
      </c>
      <c r="G78" s="14" t="s">
        <v>21</v>
      </c>
      <c r="H78" s="14" t="s">
        <v>203</v>
      </c>
    </row>
    <row r="79" spans="1:8">
      <c r="A79" s="77"/>
      <c r="B79" s="83"/>
      <c r="C79" s="19"/>
      <c r="D79" s="19"/>
      <c r="E79" s="19"/>
      <c r="F79" s="85"/>
      <c r="G79" s="4"/>
      <c r="H79" s="19"/>
    </row>
    <row r="80" spans="1:8">
      <c r="A80" s="77"/>
      <c r="B80" s="83"/>
      <c r="C80" s="5"/>
      <c r="D80" s="5"/>
      <c r="E80" s="5"/>
      <c r="F80" s="85"/>
      <c r="G80" s="84"/>
      <c r="H80" s="5"/>
    </row>
  </sheetData>
  <mergeCells count="8">
    <mergeCell ref="A44:D44"/>
    <mergeCell ref="A77:H77"/>
    <mergeCell ref="A11:B11"/>
    <mergeCell ref="A18:B18"/>
    <mergeCell ref="A28:B28"/>
    <mergeCell ref="A30:B30"/>
    <mergeCell ref="A32:B32"/>
    <mergeCell ref="A34:B34"/>
  </mergeCells>
  <conditionalFormatting sqref="B68">
    <cfRule type="duplicateValues" dxfId="2" priority="1"/>
  </conditionalFormatting>
  <dataValidations count="5">
    <dataValidation type="list" allowBlank="1" showInputMessage="1" showErrorMessage="1" sqref="B22" xr:uid="{FDEF8F14-6971-4C19-9E3A-2BF8DF7AC05D}">
      <formula1>"Tags Normal,Tags Reversed,Local"</formula1>
    </dataValidation>
    <dataValidation type="list" allowBlank="1" showInputMessage="1" showErrorMessage="1" sqref="B29 B31 B33 B35 B19:B21" xr:uid="{5095BD4F-52F6-4E5D-8824-1695146FFAC5}">
      <formula1>"Checked,Unchecked"</formula1>
    </dataValidation>
    <dataValidation type="list" allowBlank="1" showInputMessage="1" showErrorMessage="1" sqref="B25" xr:uid="{50516366-EBFC-47A4-9C39-D29F00999581}">
      <formula1>"N/A,Tags Normal,Tags Reversed,Direct Assignment"</formula1>
    </dataValidation>
    <dataValidation type="list" allowBlank="1" showInputMessage="1" showErrorMessage="1" sqref="B37" xr:uid="{BAB0E98B-8583-41C5-B405-8D354ABBA9FD}">
      <formula1>"JSON,XML,CEF,LEEF,Key-Value Pairs,Delimited,Limited Structure"</formula1>
    </dataValidation>
    <dataValidation type="list" allowBlank="1" showInputMessage="1" showErrorMessage="1" sqref="B23:B24" xr:uid="{DF617743-1B60-4804-8D47-77CEF5C59AF2}">
      <formula1>"N/A,Tags,Log Message Source"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966A1-309F-4B8E-9E2F-C6AB7D7A059E}">
  <dimension ref="A1:H101"/>
  <sheetViews>
    <sheetView workbookViewId="0">
      <selection activeCell="C13" sqref="C13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9</v>
      </c>
    </row>
    <row r="4" spans="1:8">
      <c r="A4" s="6" t="s">
        <v>10</v>
      </c>
      <c r="B4" s="7" t="s">
        <v>1881</v>
      </c>
    </row>
    <row r="6" spans="1:8">
      <c r="A6" s="8" t="s">
        <v>12</v>
      </c>
      <c r="B6" s="9" t="s">
        <v>13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78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1994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>
      <c r="A15" s="8" t="s">
        <v>21</v>
      </c>
      <c r="B15" s="13" t="s">
        <v>1882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1883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409.6">
      <c r="A41" s="8" t="s">
        <v>48</v>
      </c>
      <c r="B41" s="11" t="s">
        <v>1884</v>
      </c>
      <c r="C41" s="13"/>
      <c r="D41" s="13"/>
      <c r="E41" s="13"/>
      <c r="F41" s="13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96" t="s">
        <v>1809</v>
      </c>
      <c r="B46" s="98"/>
      <c r="C46" s="76">
        <v>700010081</v>
      </c>
      <c r="D46" s="1" t="s">
        <v>1810</v>
      </c>
      <c r="E46" s="10"/>
      <c r="F46" s="10"/>
      <c r="G46" s="10"/>
    </row>
    <row r="47" spans="1:8">
      <c r="A47" s="96" t="s">
        <v>1795</v>
      </c>
      <c r="B47" s="98"/>
      <c r="C47" s="76">
        <v>1685438007</v>
      </c>
      <c r="D47" s="2"/>
      <c r="E47" s="10"/>
      <c r="F47" s="10"/>
      <c r="G47" s="10"/>
    </row>
    <row r="48" spans="1:8">
      <c r="A48" s="96" t="s">
        <v>1113</v>
      </c>
      <c r="B48" s="98"/>
      <c r="C48" s="76" t="s">
        <v>1912</v>
      </c>
      <c r="D48" s="72"/>
      <c r="E48" s="10"/>
      <c r="F48" s="10"/>
      <c r="G48" s="10"/>
    </row>
    <row r="49" spans="1:7">
      <c r="A49" s="96" t="s">
        <v>1114</v>
      </c>
      <c r="B49" s="98"/>
      <c r="C49" s="76" t="s">
        <v>1913</v>
      </c>
      <c r="D49" s="72"/>
      <c r="E49" s="10"/>
      <c r="F49" s="10"/>
      <c r="G49" s="10"/>
    </row>
    <row r="50" spans="1:7">
      <c r="A50" s="96" t="s">
        <v>72</v>
      </c>
      <c r="B50" s="98"/>
      <c r="C50" s="76" t="s">
        <v>1914</v>
      </c>
      <c r="D50" s="72"/>
      <c r="E50" s="10"/>
      <c r="F50" s="10"/>
      <c r="G50" s="10"/>
    </row>
    <row r="51" spans="1:7">
      <c r="A51" s="96" t="s">
        <v>1817</v>
      </c>
      <c r="B51" s="98"/>
      <c r="C51" s="76">
        <v>1685448591</v>
      </c>
      <c r="D51" s="1"/>
      <c r="E51" s="10"/>
      <c r="F51" s="10"/>
      <c r="G51" s="10"/>
    </row>
    <row r="52" spans="1:7">
      <c r="A52" s="96" t="s">
        <v>1809</v>
      </c>
      <c r="B52" s="98"/>
      <c r="C52" s="99">
        <v>700010081</v>
      </c>
      <c r="D52" s="2"/>
      <c r="E52" s="10"/>
      <c r="F52" s="10"/>
      <c r="G52" s="10"/>
    </row>
    <row r="53" spans="1:7">
      <c r="A53" s="96" t="s">
        <v>54</v>
      </c>
      <c r="B53" s="98"/>
      <c r="C53" s="93">
        <v>45076</v>
      </c>
      <c r="D53" s="2"/>
      <c r="E53" s="10"/>
      <c r="F53" s="10"/>
      <c r="G53" s="10"/>
    </row>
    <row r="54" spans="1:7">
      <c r="A54" s="96" t="s">
        <v>56</v>
      </c>
      <c r="B54" s="98"/>
      <c r="C54" s="94">
        <v>0.34267361111111111</v>
      </c>
      <c r="D54" s="1"/>
      <c r="E54" s="10"/>
      <c r="F54" s="10"/>
      <c r="G54" s="10"/>
    </row>
    <row r="55" spans="1:7">
      <c r="A55" s="96" t="s">
        <v>1885</v>
      </c>
      <c r="B55" s="98"/>
      <c r="C55" s="76">
        <v>30001000</v>
      </c>
      <c r="D55" s="1" t="s">
        <v>67</v>
      </c>
      <c r="E55" s="10"/>
      <c r="F55" s="10"/>
      <c r="G55" s="10"/>
    </row>
    <row r="56" spans="1:7">
      <c r="A56" s="96" t="s">
        <v>1886</v>
      </c>
      <c r="B56" s="98"/>
      <c r="C56" s="76">
        <v>983356217</v>
      </c>
      <c r="D56" s="1"/>
      <c r="E56" s="10"/>
      <c r="F56" s="10"/>
      <c r="G56" s="10"/>
    </row>
    <row r="57" spans="1:7">
      <c r="A57" s="96" t="s">
        <v>1113</v>
      </c>
      <c r="B57" s="98"/>
      <c r="C57" s="76" t="s">
        <v>1912</v>
      </c>
      <c r="D57" s="1"/>
      <c r="E57" s="10"/>
      <c r="F57" s="10"/>
      <c r="G57" s="10"/>
    </row>
    <row r="58" spans="1:7">
      <c r="A58" s="96" t="s">
        <v>1887</v>
      </c>
      <c r="B58" s="98"/>
      <c r="C58" s="76" t="s">
        <v>1913</v>
      </c>
      <c r="D58" s="1"/>
      <c r="E58" s="10"/>
      <c r="F58" s="10"/>
      <c r="G58" s="10"/>
    </row>
    <row r="59" spans="1:7">
      <c r="A59" s="96" t="s">
        <v>1888</v>
      </c>
      <c r="B59" s="98"/>
      <c r="C59" s="76" t="s">
        <v>1915</v>
      </c>
      <c r="D59" s="1"/>
      <c r="E59" s="10"/>
      <c r="F59" s="10"/>
      <c r="G59" s="10"/>
    </row>
    <row r="60" spans="1:7">
      <c r="A60" s="96" t="s">
        <v>1889</v>
      </c>
      <c r="B60" s="98"/>
      <c r="C60" s="76" t="s">
        <v>1916</v>
      </c>
      <c r="D60" s="1"/>
      <c r="E60" s="10"/>
      <c r="F60" s="10"/>
      <c r="G60" s="10"/>
    </row>
    <row r="61" spans="1:7">
      <c r="A61" s="96" t="s">
        <v>60</v>
      </c>
      <c r="B61" s="98"/>
      <c r="C61" s="76" t="s">
        <v>1917</v>
      </c>
      <c r="D61" s="1" t="s">
        <v>63</v>
      </c>
      <c r="E61" s="10"/>
      <c r="F61" s="10"/>
      <c r="G61" s="10"/>
    </row>
    <row r="62" spans="1:7">
      <c r="A62" s="96" t="s">
        <v>64</v>
      </c>
      <c r="B62" s="98"/>
      <c r="C62" s="76" t="s">
        <v>1918</v>
      </c>
      <c r="D62" s="2"/>
      <c r="E62" s="10"/>
      <c r="F62" s="10"/>
      <c r="G62" s="10"/>
    </row>
    <row r="63" spans="1:7">
      <c r="A63" s="96" t="s">
        <v>1890</v>
      </c>
      <c r="B63" s="98"/>
      <c r="C63" s="93" t="s">
        <v>1919</v>
      </c>
      <c r="D63" s="1" t="s">
        <v>71</v>
      </c>
      <c r="E63" s="10"/>
      <c r="F63" s="10"/>
      <c r="G63" s="10"/>
    </row>
    <row r="64" spans="1:7">
      <c r="A64" s="96" t="s">
        <v>116</v>
      </c>
      <c r="B64" s="98"/>
      <c r="C64" s="94" t="s">
        <v>1920</v>
      </c>
      <c r="D64" s="1" t="s">
        <v>132</v>
      </c>
      <c r="E64" s="10"/>
      <c r="F64" s="10"/>
      <c r="G64" s="10"/>
    </row>
    <row r="65" spans="1:7">
      <c r="A65" s="96" t="s">
        <v>129</v>
      </c>
      <c r="B65" s="98"/>
      <c r="C65" s="76" t="s">
        <v>1921</v>
      </c>
      <c r="D65" s="1" t="s">
        <v>1935</v>
      </c>
      <c r="E65" s="10"/>
      <c r="F65" s="10"/>
      <c r="G65" s="10"/>
    </row>
    <row r="66" spans="1:7">
      <c r="A66" s="96" t="s">
        <v>316</v>
      </c>
      <c r="B66" s="98"/>
      <c r="C66" s="76" t="s">
        <v>1922</v>
      </c>
      <c r="D66" s="1" t="s">
        <v>319</v>
      </c>
      <c r="E66" s="10"/>
      <c r="F66" s="10"/>
      <c r="G66" s="10"/>
    </row>
    <row r="67" spans="1:7">
      <c r="A67" s="96" t="s">
        <v>369</v>
      </c>
      <c r="B67" s="98"/>
      <c r="C67" s="76" t="s">
        <v>1923</v>
      </c>
      <c r="D67" s="1" t="s">
        <v>372</v>
      </c>
      <c r="E67" s="10"/>
      <c r="F67" s="10"/>
      <c r="G67" s="10"/>
    </row>
    <row r="68" spans="1:7">
      <c r="A68" s="96" t="s">
        <v>127</v>
      </c>
      <c r="B68" s="98"/>
      <c r="C68" s="76" t="s">
        <v>1924</v>
      </c>
      <c r="D68" s="1" t="s">
        <v>128</v>
      </c>
      <c r="E68" s="10"/>
      <c r="F68" s="10"/>
      <c r="G68" s="10"/>
    </row>
    <row r="69" spans="1:7">
      <c r="A69" s="96" t="s">
        <v>1891</v>
      </c>
      <c r="B69" s="98"/>
      <c r="C69" s="76" t="s">
        <v>1843</v>
      </c>
      <c r="D69" s="1"/>
      <c r="E69" s="10"/>
      <c r="F69" s="10"/>
      <c r="G69" s="10"/>
    </row>
    <row r="70" spans="1:7">
      <c r="A70" s="96" t="s">
        <v>1892</v>
      </c>
      <c r="B70" s="98"/>
      <c r="C70" s="76" t="s">
        <v>1843</v>
      </c>
      <c r="D70" s="1" t="s">
        <v>80</v>
      </c>
      <c r="E70" s="10"/>
      <c r="F70" s="10"/>
      <c r="G70" s="10"/>
    </row>
    <row r="71" spans="1:7">
      <c r="A71" s="96" t="s">
        <v>1797</v>
      </c>
      <c r="B71" s="98"/>
      <c r="C71" s="76">
        <v>50038</v>
      </c>
      <c r="D71" s="1" t="s">
        <v>83</v>
      </c>
      <c r="E71" s="10"/>
      <c r="F71" s="10"/>
      <c r="G71" s="10"/>
    </row>
    <row r="72" spans="1:7">
      <c r="A72" s="96" t="s">
        <v>1893</v>
      </c>
      <c r="B72" s="98"/>
      <c r="C72" s="53" t="s">
        <v>245</v>
      </c>
      <c r="D72" s="1" t="s">
        <v>94</v>
      </c>
      <c r="E72" s="10"/>
      <c r="F72" s="10"/>
      <c r="G72" s="10"/>
    </row>
    <row r="73" spans="1:7">
      <c r="A73" s="96" t="s">
        <v>1799</v>
      </c>
      <c r="B73" s="98"/>
      <c r="C73" s="76">
        <v>443</v>
      </c>
      <c r="D73" s="1" t="s">
        <v>97</v>
      </c>
      <c r="E73" s="10"/>
      <c r="F73" s="10"/>
      <c r="G73" s="10"/>
    </row>
    <row r="74" spans="1:7">
      <c r="A74" s="96" t="s">
        <v>1894</v>
      </c>
      <c r="B74" s="98"/>
      <c r="C74" s="76">
        <v>0</v>
      </c>
      <c r="D74" s="1"/>
      <c r="E74" s="10"/>
      <c r="F74" s="10"/>
      <c r="G74" s="10"/>
    </row>
    <row r="75" spans="1:7">
      <c r="A75" s="96" t="s">
        <v>1895</v>
      </c>
      <c r="B75" s="98"/>
      <c r="C75" s="76">
        <v>0</v>
      </c>
      <c r="D75" s="1"/>
      <c r="E75" s="10"/>
      <c r="F75" s="10"/>
      <c r="G75" s="10"/>
    </row>
    <row r="76" spans="1:7">
      <c r="A76" s="96" t="s">
        <v>1896</v>
      </c>
      <c r="B76" s="98"/>
      <c r="C76" s="76">
        <v>211</v>
      </c>
      <c r="D76" s="1" t="s">
        <v>169</v>
      </c>
      <c r="E76" s="10"/>
      <c r="F76" s="10"/>
      <c r="G76" s="10"/>
    </row>
    <row r="77" spans="1:7">
      <c r="A77" s="96" t="s">
        <v>1897</v>
      </c>
      <c r="B77" s="98"/>
      <c r="C77" s="76">
        <v>1891</v>
      </c>
      <c r="D77" s="1" t="s">
        <v>166</v>
      </c>
      <c r="E77" s="10"/>
      <c r="F77" s="10"/>
      <c r="G77" s="10"/>
    </row>
    <row r="78" spans="1:7">
      <c r="A78" s="96" t="s">
        <v>1898</v>
      </c>
      <c r="B78" s="98"/>
      <c r="C78" s="76" t="s">
        <v>1925</v>
      </c>
      <c r="D78" s="1" t="s">
        <v>298</v>
      </c>
      <c r="E78" s="10"/>
      <c r="F78" s="10"/>
      <c r="G78" s="10"/>
    </row>
    <row r="79" spans="1:7">
      <c r="A79" s="96" t="s">
        <v>1899</v>
      </c>
      <c r="B79" s="98"/>
      <c r="C79" s="76" t="s">
        <v>1926</v>
      </c>
      <c r="D79" s="1" t="s">
        <v>771</v>
      </c>
      <c r="E79" s="10"/>
      <c r="F79" s="10"/>
      <c r="G79" s="10"/>
    </row>
    <row r="80" spans="1:7" ht="31.2">
      <c r="A80" s="96" t="s">
        <v>1900</v>
      </c>
      <c r="B80" s="98"/>
      <c r="C80" s="45" t="s">
        <v>1927</v>
      </c>
      <c r="D80" s="1" t="s">
        <v>820</v>
      </c>
      <c r="E80" s="10"/>
      <c r="F80" s="10"/>
      <c r="G80" s="10"/>
    </row>
    <row r="81" spans="1:8">
      <c r="A81" s="96" t="s">
        <v>1901</v>
      </c>
      <c r="B81" s="98"/>
      <c r="C81" s="76">
        <v>404</v>
      </c>
      <c r="D81" s="1" t="s">
        <v>1936</v>
      </c>
      <c r="E81" s="10"/>
      <c r="F81" s="10"/>
      <c r="G81" s="10"/>
    </row>
    <row r="82" spans="1:8" ht="31.2">
      <c r="A82" s="96" t="s">
        <v>309</v>
      </c>
      <c r="B82" s="98"/>
      <c r="C82" s="19" t="s">
        <v>1937</v>
      </c>
      <c r="D82" s="1" t="s">
        <v>312</v>
      </c>
      <c r="E82" s="10"/>
      <c r="F82" s="10"/>
      <c r="G82" s="10"/>
    </row>
    <row r="83" spans="1:8">
      <c r="A83" s="96" t="s">
        <v>1902</v>
      </c>
      <c r="B83" s="98"/>
      <c r="C83" s="76" t="s">
        <v>1928</v>
      </c>
      <c r="D83" s="1"/>
      <c r="E83" s="10"/>
      <c r="F83" s="10"/>
      <c r="G83" s="10"/>
    </row>
    <row r="84" spans="1:8">
      <c r="A84" s="96" t="s">
        <v>136</v>
      </c>
      <c r="B84" s="98"/>
      <c r="C84" s="76" t="s">
        <v>1928</v>
      </c>
      <c r="D84" s="1"/>
      <c r="E84" s="10"/>
      <c r="F84" s="10"/>
      <c r="G84" s="10"/>
    </row>
    <row r="85" spans="1:8">
      <c r="A85" s="96" t="s">
        <v>1903</v>
      </c>
      <c r="B85" s="98"/>
      <c r="C85" s="76" t="s">
        <v>1923</v>
      </c>
      <c r="D85" s="1"/>
      <c r="E85" s="10"/>
      <c r="F85" s="10"/>
      <c r="G85" s="10"/>
    </row>
    <row r="86" spans="1:8">
      <c r="A86" s="96" t="s">
        <v>1904</v>
      </c>
      <c r="B86" s="98"/>
      <c r="C86" s="76" t="s">
        <v>1929</v>
      </c>
      <c r="D86" s="1" t="s">
        <v>416</v>
      </c>
      <c r="E86" s="10"/>
      <c r="F86" s="10"/>
      <c r="G86" s="10"/>
    </row>
    <row r="87" spans="1:8">
      <c r="A87" s="96" t="s">
        <v>1905</v>
      </c>
      <c r="B87" s="98"/>
      <c r="C87" s="76" t="s">
        <v>1924</v>
      </c>
      <c r="D87" s="1" t="s">
        <v>932</v>
      </c>
      <c r="E87" s="10"/>
      <c r="F87" s="10"/>
      <c r="G87" s="10"/>
    </row>
    <row r="88" spans="1:8">
      <c r="A88" s="96" t="s">
        <v>1906</v>
      </c>
      <c r="B88" s="98"/>
      <c r="C88" s="76" t="s">
        <v>1930</v>
      </c>
      <c r="D88" s="1" t="s">
        <v>356</v>
      </c>
      <c r="E88" s="10"/>
      <c r="F88" s="10"/>
      <c r="G88" s="10"/>
    </row>
    <row r="89" spans="1:8">
      <c r="A89" s="96" t="s">
        <v>1907</v>
      </c>
      <c r="B89" s="98"/>
      <c r="C89" s="76" t="s">
        <v>1923</v>
      </c>
      <c r="D89" s="2"/>
      <c r="E89" s="10"/>
      <c r="F89" s="10"/>
      <c r="G89" s="10"/>
    </row>
    <row r="90" spans="1:8">
      <c r="A90" s="96" t="s">
        <v>1908</v>
      </c>
      <c r="B90" s="98"/>
      <c r="C90" s="76" t="s">
        <v>1931</v>
      </c>
      <c r="D90" s="1"/>
      <c r="E90" s="10"/>
      <c r="F90" s="10"/>
      <c r="G90" s="10"/>
    </row>
    <row r="91" spans="1:8">
      <c r="A91" s="96" t="s">
        <v>1909</v>
      </c>
      <c r="B91" s="98"/>
      <c r="C91" s="76" t="s">
        <v>1932</v>
      </c>
      <c r="D91" s="2"/>
      <c r="E91" s="10"/>
      <c r="F91" s="10"/>
      <c r="G91" s="10"/>
    </row>
    <row r="92" spans="1:8">
      <c r="A92" s="96" t="s">
        <v>1910</v>
      </c>
      <c r="B92" s="98"/>
      <c r="C92" s="76" t="s">
        <v>1933</v>
      </c>
      <c r="D92" s="2"/>
      <c r="E92" s="10"/>
      <c r="F92" s="10"/>
      <c r="G92" s="10"/>
    </row>
    <row r="93" spans="1:8">
      <c r="A93" s="96" t="s">
        <v>1911</v>
      </c>
      <c r="C93" s="76" t="s">
        <v>1923</v>
      </c>
      <c r="D93" s="2"/>
      <c r="E93" s="10"/>
      <c r="F93" s="10"/>
      <c r="G93" s="10"/>
    </row>
    <row r="94" spans="1:8">
      <c r="A94" s="96" t="s">
        <v>290</v>
      </c>
      <c r="B94" s="97"/>
      <c r="C94" s="25" t="s">
        <v>1934</v>
      </c>
      <c r="D94" s="14"/>
      <c r="E94" s="10"/>
      <c r="F94" s="10"/>
      <c r="G94" s="10"/>
    </row>
    <row r="95" spans="1:8">
      <c r="A95" s="13"/>
      <c r="B95" s="13"/>
      <c r="C95" s="89"/>
      <c r="D95" s="87"/>
      <c r="E95" s="10"/>
      <c r="F95" s="10"/>
      <c r="G95" s="10"/>
      <c r="H95" s="10"/>
    </row>
    <row r="96" spans="1:8">
      <c r="A96" s="13"/>
      <c r="B96" s="10"/>
      <c r="C96" s="10"/>
      <c r="D96" s="10"/>
      <c r="E96" s="10"/>
      <c r="F96" s="10"/>
      <c r="G96" s="10"/>
      <c r="H96" s="10"/>
    </row>
    <row r="97" spans="1:8">
      <c r="A97" s="113" t="s">
        <v>196</v>
      </c>
      <c r="B97" s="113"/>
      <c r="C97" s="113"/>
      <c r="D97" s="113"/>
      <c r="E97" s="113"/>
      <c r="F97" s="113"/>
      <c r="G97" s="113"/>
      <c r="H97" s="113"/>
    </row>
    <row r="98" spans="1:8">
      <c r="A98" s="81" t="s">
        <v>1432</v>
      </c>
      <c r="B98" s="14" t="s">
        <v>197</v>
      </c>
      <c r="C98" s="14" t="s">
        <v>198</v>
      </c>
      <c r="D98" s="14" t="s">
        <v>199</v>
      </c>
      <c r="E98" s="14" t="s">
        <v>200</v>
      </c>
      <c r="F98" s="14" t="s">
        <v>202</v>
      </c>
      <c r="G98" s="14" t="s">
        <v>21</v>
      </c>
      <c r="H98" s="14" t="s">
        <v>203</v>
      </c>
    </row>
    <row r="99" spans="1:8">
      <c r="A99" s="90"/>
      <c r="B99" s="14"/>
      <c r="C99" s="14"/>
      <c r="D99" s="14"/>
      <c r="E99" s="14"/>
      <c r="F99" s="4"/>
      <c r="G99" s="3"/>
      <c r="H99" s="14"/>
    </row>
    <row r="100" spans="1:8">
      <c r="A100" s="90"/>
      <c r="B100" s="65"/>
      <c r="C100" s="26"/>
      <c r="D100" s="26"/>
      <c r="E100" s="26"/>
      <c r="F100" s="3"/>
      <c r="G100" s="3"/>
      <c r="H100" s="26"/>
    </row>
    <row r="101" spans="1:8">
      <c r="A101" s="19"/>
      <c r="B101" s="26"/>
      <c r="C101" s="26"/>
      <c r="D101" s="26"/>
      <c r="E101" s="26"/>
      <c r="G101" s="26"/>
      <c r="H101" s="26"/>
    </row>
  </sheetData>
  <mergeCells count="8">
    <mergeCell ref="A44:D44"/>
    <mergeCell ref="A97:H97"/>
    <mergeCell ref="A11:B11"/>
    <mergeCell ref="A18:B18"/>
    <mergeCell ref="A28:B28"/>
    <mergeCell ref="A30:B30"/>
    <mergeCell ref="A32:B32"/>
    <mergeCell ref="A34:B34"/>
  </mergeCells>
  <dataValidations count="5">
    <dataValidation type="list" allowBlank="1" showInputMessage="1" showErrorMessage="1" sqref="B23:B24" xr:uid="{B0C2F20F-67EC-422D-963C-6806AA63FFEB}">
      <formula1>"N/A,Tags,Log Message Source"</formula1>
    </dataValidation>
    <dataValidation type="list" allowBlank="1" showInputMessage="1" showErrorMessage="1" sqref="B37" xr:uid="{84E27689-5E49-4F4D-8101-4437315761D2}">
      <formula1>"JSON,XML,CEF,LEEF,Key-Value Pairs,Delimited,Limited Structure"</formula1>
    </dataValidation>
    <dataValidation type="list" allowBlank="1" showInputMessage="1" showErrorMessage="1" sqref="B25" xr:uid="{4117B525-DEFC-424A-85E8-4575DB2F0EC7}">
      <formula1>"N/A,Tags Normal,Tags Reversed,Direct Assignment"</formula1>
    </dataValidation>
    <dataValidation type="list" allowBlank="1" showInputMessage="1" showErrorMessage="1" sqref="B29 B31 B33 B35 B19:B21" xr:uid="{D31C74C4-D21A-4D7C-BBBA-383E85FC2B06}">
      <formula1>"Checked,Unchecked"</formula1>
    </dataValidation>
    <dataValidation type="list" allowBlank="1" showInputMessage="1" showErrorMessage="1" sqref="B22" xr:uid="{2815A3B5-A77F-498B-A84F-96D7DCAB2FBA}">
      <formula1>"Tags Normal,Tags Reversed,Local"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B579-BB67-4A78-ABE6-220028587CF8}">
  <dimension ref="A1:H98"/>
  <sheetViews>
    <sheetView workbookViewId="0">
      <selection activeCell="B12" sqref="B12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9</v>
      </c>
    </row>
    <row r="4" spans="1:8">
      <c r="A4" s="6" t="s">
        <v>10</v>
      </c>
      <c r="B4" s="7" t="s">
        <v>338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1995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>
      <c r="A15" s="8" t="s">
        <v>21</v>
      </c>
      <c r="B15" s="13" t="s">
        <v>1938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1939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409.6">
      <c r="A41" s="8" t="s">
        <v>48</v>
      </c>
      <c r="B41" s="11" t="s">
        <v>1959</v>
      </c>
      <c r="C41" s="13"/>
      <c r="D41" s="13"/>
      <c r="E41" s="13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96" t="s">
        <v>1795</v>
      </c>
      <c r="B46" s="46"/>
      <c r="C46" s="45">
        <v>1692103649</v>
      </c>
      <c r="D46" s="19"/>
      <c r="E46" s="10"/>
      <c r="F46" s="10"/>
      <c r="G46" s="10"/>
    </row>
    <row r="47" spans="1:8">
      <c r="A47" s="96" t="s">
        <v>1113</v>
      </c>
      <c r="B47" s="46"/>
      <c r="C47" s="45" t="s">
        <v>1832</v>
      </c>
      <c r="D47" s="19"/>
      <c r="E47" s="10"/>
      <c r="F47" s="10"/>
      <c r="G47" s="10"/>
    </row>
    <row r="48" spans="1:8">
      <c r="A48" s="96" t="s">
        <v>1114</v>
      </c>
      <c r="B48" s="46"/>
      <c r="C48" s="45" t="s">
        <v>1833</v>
      </c>
      <c r="D48" s="19"/>
      <c r="E48" s="10"/>
      <c r="F48" s="10"/>
      <c r="G48" s="10"/>
    </row>
    <row r="49" spans="1:7">
      <c r="A49" s="96" t="s">
        <v>72</v>
      </c>
      <c r="B49" s="46"/>
      <c r="C49" s="45" t="s">
        <v>1834</v>
      </c>
      <c r="D49" s="18"/>
      <c r="E49" s="10"/>
      <c r="F49" s="10"/>
      <c r="G49" s="10"/>
    </row>
    <row r="50" spans="1:7">
      <c r="A50" s="96" t="s">
        <v>1817</v>
      </c>
      <c r="B50" s="46"/>
      <c r="C50" s="45">
        <v>1692100049</v>
      </c>
      <c r="D50" s="26"/>
      <c r="E50" s="10"/>
      <c r="F50" s="10"/>
      <c r="G50" s="10"/>
    </row>
    <row r="51" spans="1:7">
      <c r="A51" s="96" t="s">
        <v>1818</v>
      </c>
      <c r="B51" s="46"/>
      <c r="C51" s="45" t="s">
        <v>1946</v>
      </c>
      <c r="D51" s="19"/>
      <c r="E51" s="10"/>
      <c r="F51" s="10"/>
      <c r="G51" s="10"/>
    </row>
    <row r="52" spans="1:7">
      <c r="A52" s="96" t="s">
        <v>54</v>
      </c>
      <c r="B52" s="46"/>
      <c r="C52" s="100">
        <v>45153</v>
      </c>
      <c r="D52" s="19"/>
      <c r="E52" s="10"/>
      <c r="F52" s="10"/>
      <c r="G52" s="10"/>
    </row>
    <row r="53" spans="1:7">
      <c r="A53" s="96" t="s">
        <v>56</v>
      </c>
      <c r="B53" s="46"/>
      <c r="C53" s="101">
        <v>0.53297453703703701</v>
      </c>
      <c r="D53" s="19"/>
      <c r="E53" s="10"/>
      <c r="F53" s="10"/>
      <c r="G53" s="10"/>
    </row>
    <row r="54" spans="1:7">
      <c r="A54" s="96" t="s">
        <v>1809</v>
      </c>
      <c r="B54" s="46"/>
      <c r="C54" s="45">
        <v>2</v>
      </c>
      <c r="D54" s="19" t="s">
        <v>1810</v>
      </c>
      <c r="E54" s="10"/>
      <c r="F54" s="10"/>
      <c r="G54" s="10"/>
    </row>
    <row r="55" spans="1:7">
      <c r="A55" s="96" t="s">
        <v>1819</v>
      </c>
      <c r="B55" s="46"/>
      <c r="C55" s="45">
        <v>96900</v>
      </c>
      <c r="D55" s="19"/>
      <c r="E55" s="10"/>
      <c r="F55" s="10"/>
      <c r="G55" s="10"/>
    </row>
    <row r="56" spans="1:7">
      <c r="A56" s="96" t="s">
        <v>60</v>
      </c>
      <c r="B56" s="46"/>
      <c r="C56" s="45" t="s">
        <v>1917</v>
      </c>
      <c r="D56" s="19" t="s">
        <v>63</v>
      </c>
      <c r="E56" s="10"/>
      <c r="F56" s="10"/>
      <c r="G56" s="10"/>
    </row>
    <row r="57" spans="1:7">
      <c r="A57" s="96" t="s">
        <v>64</v>
      </c>
      <c r="B57" s="46"/>
      <c r="C57" s="45" t="s">
        <v>1878</v>
      </c>
      <c r="D57" s="19"/>
      <c r="E57" s="10"/>
      <c r="F57" s="10"/>
      <c r="G57" s="10"/>
    </row>
    <row r="58" spans="1:7">
      <c r="A58" s="96" t="s">
        <v>295</v>
      </c>
      <c r="B58" s="46"/>
      <c r="C58" s="45" t="s">
        <v>1917</v>
      </c>
      <c r="D58" s="19"/>
      <c r="E58" s="10"/>
      <c r="F58" s="10"/>
      <c r="G58" s="10"/>
    </row>
    <row r="59" spans="1:7">
      <c r="A59" s="96" t="s">
        <v>68</v>
      </c>
      <c r="B59" s="46"/>
      <c r="C59" s="45" t="s">
        <v>1839</v>
      </c>
      <c r="D59" s="19" t="s">
        <v>71</v>
      </c>
      <c r="E59" s="10"/>
      <c r="F59" s="10"/>
      <c r="G59" s="10"/>
    </row>
    <row r="60" spans="1:7">
      <c r="A60" s="96" t="s">
        <v>1820</v>
      </c>
      <c r="B60" s="46"/>
      <c r="C60" s="45" t="s">
        <v>1947</v>
      </c>
      <c r="D60" s="19"/>
      <c r="E60" s="10"/>
      <c r="F60" s="10"/>
      <c r="G60" s="10"/>
    </row>
    <row r="61" spans="1:7">
      <c r="A61" s="96" t="s">
        <v>852</v>
      </c>
      <c r="B61" s="46"/>
      <c r="C61" s="45" t="s">
        <v>1958</v>
      </c>
      <c r="D61" s="19" t="s">
        <v>932</v>
      </c>
      <c r="E61" s="10"/>
      <c r="F61" s="10"/>
      <c r="G61" s="10"/>
    </row>
    <row r="62" spans="1:7">
      <c r="A62" s="96" t="s">
        <v>1821</v>
      </c>
      <c r="B62" s="46"/>
      <c r="C62" s="19" t="s">
        <v>1842</v>
      </c>
      <c r="D62" s="19" t="s">
        <v>1855</v>
      </c>
      <c r="E62" s="10"/>
      <c r="F62" s="10"/>
      <c r="G62" s="10"/>
    </row>
    <row r="63" spans="1:7">
      <c r="A63" s="96" t="s">
        <v>1822</v>
      </c>
      <c r="B63" s="46"/>
      <c r="C63" s="100" t="s">
        <v>1843</v>
      </c>
      <c r="D63" s="19"/>
      <c r="E63" s="10"/>
      <c r="F63" s="10"/>
      <c r="G63" s="10"/>
    </row>
    <row r="64" spans="1:7">
      <c r="A64" s="96" t="s">
        <v>1823</v>
      </c>
      <c r="B64" s="46"/>
      <c r="C64" s="101" t="s">
        <v>1844</v>
      </c>
      <c r="D64" s="19" t="s">
        <v>190</v>
      </c>
      <c r="E64" s="10"/>
      <c r="F64" s="10"/>
      <c r="G64" s="10"/>
    </row>
    <row r="65" spans="1:7">
      <c r="A65" s="96" t="s">
        <v>1824</v>
      </c>
      <c r="B65" s="46"/>
      <c r="C65" s="45" t="s">
        <v>1834</v>
      </c>
      <c r="D65" s="19"/>
      <c r="E65" s="10"/>
      <c r="F65" s="10"/>
      <c r="G65" s="10"/>
    </row>
    <row r="66" spans="1:7">
      <c r="A66" s="96" t="s">
        <v>1825</v>
      </c>
      <c r="B66" s="46"/>
      <c r="C66" s="45" t="s">
        <v>1845</v>
      </c>
      <c r="D66" s="19"/>
      <c r="E66" s="10"/>
      <c r="F66" s="10"/>
      <c r="G66" s="10"/>
    </row>
    <row r="67" spans="1:7">
      <c r="A67" s="96" t="s">
        <v>1826</v>
      </c>
      <c r="B67" s="46"/>
      <c r="C67" s="45" t="s">
        <v>1846</v>
      </c>
      <c r="D67" s="19"/>
      <c r="E67" s="10"/>
      <c r="F67" s="10"/>
      <c r="G67" s="10"/>
    </row>
    <row r="68" spans="1:7">
      <c r="A68" s="96" t="s">
        <v>1827</v>
      </c>
      <c r="B68" s="46"/>
      <c r="C68" s="45" t="s">
        <v>1833</v>
      </c>
      <c r="D68" s="19"/>
      <c r="E68" s="10"/>
      <c r="F68" s="10"/>
      <c r="G68" s="10"/>
    </row>
    <row r="69" spans="1:7">
      <c r="A69" s="96" t="s">
        <v>1828</v>
      </c>
      <c r="B69" s="46"/>
      <c r="C69" s="45" t="s">
        <v>1847</v>
      </c>
      <c r="D69" s="19" t="s">
        <v>128</v>
      </c>
      <c r="E69" s="10"/>
      <c r="F69" s="10"/>
      <c r="G69" s="10"/>
    </row>
    <row r="70" spans="1:7" ht="31.2">
      <c r="A70" s="96" t="s">
        <v>1829</v>
      </c>
      <c r="B70" s="46"/>
      <c r="C70" s="45" t="s">
        <v>1848</v>
      </c>
      <c r="D70" s="19" t="s">
        <v>298</v>
      </c>
      <c r="E70" s="10"/>
      <c r="F70" s="10"/>
      <c r="G70" s="10"/>
    </row>
    <row r="71" spans="1:7">
      <c r="A71" s="96" t="s">
        <v>353</v>
      </c>
      <c r="B71" s="46"/>
      <c r="C71" s="45" t="s">
        <v>1849</v>
      </c>
      <c r="D71" s="19" t="s">
        <v>356</v>
      </c>
      <c r="E71" s="10"/>
      <c r="F71" s="10"/>
      <c r="G71" s="10"/>
    </row>
    <row r="72" spans="1:7">
      <c r="A72" s="96" t="s">
        <v>309</v>
      </c>
      <c r="B72" s="46"/>
      <c r="C72" s="45" t="s">
        <v>1948</v>
      </c>
      <c r="D72" s="19" t="s">
        <v>312</v>
      </c>
      <c r="E72" s="10"/>
      <c r="F72" s="10"/>
      <c r="G72" s="10"/>
    </row>
    <row r="73" spans="1:7">
      <c r="A73" s="96" t="s">
        <v>113</v>
      </c>
      <c r="B73" s="46"/>
      <c r="C73" s="45">
        <v>3518147967</v>
      </c>
      <c r="D73" s="19" t="s">
        <v>115</v>
      </c>
      <c r="E73" s="10"/>
      <c r="F73" s="10"/>
      <c r="G73" s="10"/>
    </row>
    <row r="74" spans="1:7">
      <c r="A74" s="96" t="s">
        <v>1769</v>
      </c>
      <c r="B74" s="46"/>
      <c r="C74" s="45" t="s">
        <v>1949</v>
      </c>
      <c r="D74" s="19" t="s">
        <v>1935</v>
      </c>
      <c r="E74" s="10"/>
      <c r="F74" s="10"/>
      <c r="G74" s="10"/>
    </row>
    <row r="75" spans="1:7">
      <c r="A75" s="96" t="s">
        <v>1940</v>
      </c>
      <c r="B75" s="46"/>
      <c r="C75" s="45" t="s">
        <v>1950</v>
      </c>
      <c r="D75" s="19"/>
      <c r="E75" s="10"/>
      <c r="F75" s="10"/>
      <c r="G75" s="10"/>
    </row>
    <row r="76" spans="1:7">
      <c r="A76" s="96" t="s">
        <v>77</v>
      </c>
      <c r="B76" s="46"/>
      <c r="C76" s="45" t="s">
        <v>1843</v>
      </c>
      <c r="D76" s="19" t="s">
        <v>80</v>
      </c>
      <c r="E76" s="10"/>
      <c r="F76" s="10"/>
      <c r="G76" s="10"/>
    </row>
    <row r="77" spans="1:7">
      <c r="A77" s="96" t="s">
        <v>81</v>
      </c>
      <c r="B77" s="46"/>
      <c r="C77" s="45">
        <v>54090</v>
      </c>
      <c r="D77" s="19" t="s">
        <v>83</v>
      </c>
      <c r="E77" s="10"/>
      <c r="F77" s="10"/>
      <c r="G77" s="10"/>
    </row>
    <row r="78" spans="1:7">
      <c r="A78" s="96" t="s">
        <v>793</v>
      </c>
      <c r="B78" s="46"/>
      <c r="C78" s="45" t="s">
        <v>1951</v>
      </c>
      <c r="D78" s="19"/>
      <c r="E78" s="10"/>
      <c r="F78" s="10"/>
      <c r="G78" s="10"/>
    </row>
    <row r="79" spans="1:7">
      <c r="A79" s="96" t="s">
        <v>91</v>
      </c>
      <c r="B79" s="46"/>
      <c r="C79" s="45" t="s">
        <v>1952</v>
      </c>
      <c r="D79" s="19" t="s">
        <v>94</v>
      </c>
      <c r="E79" s="10"/>
      <c r="F79" s="10"/>
      <c r="G79" s="10"/>
    </row>
    <row r="80" spans="1:7">
      <c r="A80" s="96" t="s">
        <v>1941</v>
      </c>
      <c r="B80" s="46"/>
      <c r="C80" s="45" t="s">
        <v>1842</v>
      </c>
      <c r="D80" s="19" t="s">
        <v>1082</v>
      </c>
      <c r="E80" s="10"/>
      <c r="F80" s="10"/>
      <c r="G80" s="10"/>
    </row>
    <row r="81" spans="1:8">
      <c r="A81" s="96" t="s">
        <v>95</v>
      </c>
      <c r="B81" s="46"/>
      <c r="C81" s="45">
        <v>20480</v>
      </c>
      <c r="D81" s="19" t="s">
        <v>97</v>
      </c>
      <c r="E81" s="10"/>
      <c r="F81" s="10"/>
      <c r="G81" s="10"/>
    </row>
    <row r="82" spans="1:8">
      <c r="A82" s="96" t="s">
        <v>116</v>
      </c>
      <c r="B82" s="46"/>
      <c r="C82" s="45">
        <v>6</v>
      </c>
      <c r="D82" s="19" t="s">
        <v>118</v>
      </c>
      <c r="E82" s="10"/>
      <c r="F82" s="10"/>
      <c r="G82" s="10"/>
    </row>
    <row r="83" spans="1:8">
      <c r="A83" s="96" t="s">
        <v>167</v>
      </c>
      <c r="B83" s="46"/>
      <c r="C83" s="45">
        <v>0</v>
      </c>
      <c r="D83" s="19" t="s">
        <v>166</v>
      </c>
      <c r="E83" s="10"/>
      <c r="F83" s="10"/>
      <c r="G83" s="10"/>
    </row>
    <row r="84" spans="1:8">
      <c r="A84" s="96" t="s">
        <v>164</v>
      </c>
      <c r="B84" s="46"/>
      <c r="C84" s="45">
        <v>0</v>
      </c>
      <c r="D84" s="19" t="s">
        <v>169</v>
      </c>
      <c r="E84" s="10"/>
      <c r="F84" s="10"/>
      <c r="G84" s="10"/>
    </row>
    <row r="85" spans="1:8">
      <c r="A85" s="96" t="s">
        <v>176</v>
      </c>
      <c r="B85" s="46"/>
      <c r="C85" s="45" t="s">
        <v>1953</v>
      </c>
      <c r="D85" s="19" t="s">
        <v>122</v>
      </c>
      <c r="E85" s="10"/>
      <c r="F85" s="10"/>
      <c r="G85" s="10"/>
    </row>
    <row r="86" spans="1:8">
      <c r="A86" s="96" t="s">
        <v>1942</v>
      </c>
      <c r="B86" s="46"/>
      <c r="C86" s="45" t="s">
        <v>1954</v>
      </c>
      <c r="D86" s="19"/>
      <c r="E86" s="10"/>
      <c r="F86" s="10"/>
      <c r="G86" s="10"/>
    </row>
    <row r="87" spans="1:8">
      <c r="A87" s="96" t="s">
        <v>1943</v>
      </c>
      <c r="B87" s="46"/>
      <c r="C87" s="45" t="s">
        <v>1955</v>
      </c>
      <c r="D87" s="19" t="s">
        <v>804</v>
      </c>
      <c r="E87" s="10"/>
      <c r="F87" s="10"/>
      <c r="G87" s="10"/>
    </row>
    <row r="88" spans="1:8">
      <c r="A88" s="96" t="s">
        <v>129</v>
      </c>
      <c r="B88" s="46"/>
      <c r="C88" s="45" t="s">
        <v>1956</v>
      </c>
      <c r="D88" s="19" t="s">
        <v>132</v>
      </c>
      <c r="E88" s="10"/>
      <c r="F88" s="10"/>
      <c r="G88" s="10"/>
    </row>
    <row r="89" spans="1:8">
      <c r="A89" s="96" t="s">
        <v>1944</v>
      </c>
      <c r="B89" s="46"/>
      <c r="C89" s="45">
        <v>0</v>
      </c>
      <c r="D89" s="19"/>
      <c r="E89" s="10"/>
      <c r="F89" s="10"/>
      <c r="G89" s="10"/>
    </row>
    <row r="90" spans="1:8">
      <c r="A90" s="96" t="s">
        <v>1945</v>
      </c>
      <c r="B90" s="46"/>
      <c r="C90" s="45">
        <v>0</v>
      </c>
      <c r="D90" s="19"/>
      <c r="E90" s="10"/>
      <c r="F90" s="10"/>
      <c r="G90" s="10"/>
    </row>
    <row r="91" spans="1:8" ht="31.2">
      <c r="A91" s="96" t="s">
        <v>768</v>
      </c>
      <c r="B91" s="46"/>
      <c r="C91" s="45" t="s">
        <v>1957</v>
      </c>
      <c r="D91" s="19" t="s">
        <v>771</v>
      </c>
      <c r="E91" s="10"/>
      <c r="F91" s="10"/>
      <c r="G91" s="10"/>
    </row>
    <row r="92" spans="1:8">
      <c r="A92" s="96" t="s">
        <v>290</v>
      </c>
      <c r="B92" s="46"/>
      <c r="C92" s="67" t="s">
        <v>1854</v>
      </c>
      <c r="D92" s="19"/>
      <c r="E92" s="10"/>
      <c r="F92" s="10"/>
      <c r="G92" s="10"/>
    </row>
    <row r="93" spans="1:8">
      <c r="A93" s="13"/>
      <c r="B93" s="10"/>
      <c r="C93" s="10"/>
      <c r="D93" s="10"/>
      <c r="E93" s="10"/>
      <c r="F93" s="10"/>
      <c r="G93" s="10"/>
      <c r="H93" s="10"/>
    </row>
    <row r="94" spans="1:8">
      <c r="A94" s="13"/>
      <c r="B94" s="10"/>
      <c r="C94" s="10"/>
      <c r="D94" s="10"/>
      <c r="E94" s="10"/>
      <c r="F94" s="10"/>
      <c r="G94" s="10"/>
      <c r="H94" s="10"/>
    </row>
    <row r="95" spans="1:8">
      <c r="A95" s="113" t="s">
        <v>196</v>
      </c>
      <c r="B95" s="113"/>
      <c r="C95" s="113"/>
      <c r="D95" s="113"/>
      <c r="E95" s="113"/>
      <c r="F95" s="113"/>
      <c r="G95" s="113"/>
      <c r="H95" s="113"/>
    </row>
    <row r="96" spans="1:8">
      <c r="A96" s="14" t="s">
        <v>1432</v>
      </c>
      <c r="B96" s="14" t="s">
        <v>197</v>
      </c>
      <c r="C96" s="14" t="s">
        <v>198</v>
      </c>
      <c r="D96" s="14" t="s">
        <v>199</v>
      </c>
      <c r="E96" s="14" t="s">
        <v>200</v>
      </c>
      <c r="F96" s="14" t="s">
        <v>202</v>
      </c>
      <c r="G96" s="14" t="s">
        <v>21</v>
      </c>
      <c r="H96" s="14" t="s">
        <v>203</v>
      </c>
    </row>
    <row r="97" spans="1:8">
      <c r="A97" s="77"/>
      <c r="B97" s="83"/>
      <c r="C97" s="19"/>
      <c r="D97" s="19"/>
      <c r="E97" s="19"/>
      <c r="F97" s="85"/>
      <c r="G97" s="4"/>
      <c r="H97" s="19"/>
    </row>
    <row r="98" spans="1:8">
      <c r="A98" s="77"/>
      <c r="B98" s="83"/>
      <c r="C98" s="5"/>
      <c r="D98" s="5"/>
      <c r="E98" s="5"/>
      <c r="F98" s="85"/>
      <c r="G98" s="84"/>
      <c r="H98" s="5"/>
    </row>
  </sheetData>
  <mergeCells count="8">
    <mergeCell ref="A44:D44"/>
    <mergeCell ref="A95:H95"/>
    <mergeCell ref="A11:B11"/>
    <mergeCell ref="A18:B18"/>
    <mergeCell ref="A28:B28"/>
    <mergeCell ref="A30:B30"/>
    <mergeCell ref="A32:B32"/>
    <mergeCell ref="A34:B34"/>
  </mergeCells>
  <conditionalFormatting sqref="B68">
    <cfRule type="duplicateValues" dxfId="1" priority="1"/>
  </conditionalFormatting>
  <dataValidations count="5">
    <dataValidation type="list" allowBlank="1" showInputMessage="1" showErrorMessage="1" sqref="B23:B24" xr:uid="{F0D96001-0D12-408A-ACB9-E23CF1B0D2CB}">
      <formula1>"N/A,Tags,Log Message Source"</formula1>
    </dataValidation>
    <dataValidation type="list" allowBlank="1" showInputMessage="1" showErrorMessage="1" sqref="B37" xr:uid="{E1BB0BDB-223C-438F-9553-140F911A5C69}">
      <formula1>"JSON,XML,CEF,LEEF,Key-Value Pairs,Delimited,Limited Structure"</formula1>
    </dataValidation>
    <dataValidation type="list" allowBlank="1" showInputMessage="1" showErrorMessage="1" sqref="B25" xr:uid="{6C0C7173-8A34-4719-AE60-CD518FD86A00}">
      <formula1>"N/A,Tags Normal,Tags Reversed,Direct Assignment"</formula1>
    </dataValidation>
    <dataValidation type="list" allowBlank="1" showInputMessage="1" showErrorMessage="1" sqref="B29 B31 B33 B35 B19:B21" xr:uid="{3C33D09B-A4B0-4636-93D0-A9BC69B2954C}">
      <formula1>"Checked,Unchecked"</formula1>
    </dataValidation>
    <dataValidation type="list" allowBlank="1" showInputMessage="1" showErrorMessage="1" sqref="B22" xr:uid="{9C4AF1F4-9731-4238-86B8-2817B8D8DBCD}">
      <formula1>"Tags Normal,Tags Reversed,Local"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F52B3-AF58-46EC-BEA2-77E562B8C233}">
  <dimension ref="A1:H92"/>
  <sheetViews>
    <sheetView workbookViewId="0">
      <selection activeCell="C10" sqref="C10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  <c r="B4" s="7" t="s">
        <v>1960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 ht="46.8">
      <c r="A8" s="8" t="s">
        <v>14</v>
      </c>
      <c r="B8" s="12" t="s">
        <v>15</v>
      </c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13" t="s">
        <v>1996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11"/>
      <c r="C13" s="10"/>
      <c r="D13" s="10"/>
      <c r="E13" s="10"/>
      <c r="F13" s="10"/>
      <c r="G13" s="10"/>
      <c r="H13" s="10"/>
    </row>
    <row r="14" spans="1:8">
      <c r="A14" s="8" t="s">
        <v>20</v>
      </c>
      <c r="B14" s="11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13" t="s">
        <v>1990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 t="s">
        <v>1962</v>
      </c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 ht="409.6">
      <c r="A41" s="8" t="s">
        <v>48</v>
      </c>
      <c r="B41" s="11" t="s">
        <v>1961</v>
      </c>
      <c r="C41" s="13"/>
      <c r="D41" s="13"/>
      <c r="E41" s="13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>
      <c r="A46" s="96" t="s">
        <v>1809</v>
      </c>
      <c r="B46" s="46"/>
      <c r="C46" s="45">
        <v>702051517</v>
      </c>
      <c r="D46" s="19" t="s">
        <v>1810</v>
      </c>
      <c r="E46" s="10"/>
      <c r="F46" s="10"/>
      <c r="G46" s="10"/>
    </row>
    <row r="47" spans="1:8">
      <c r="A47" s="96" t="s">
        <v>1795</v>
      </c>
      <c r="B47" s="46"/>
      <c r="C47" s="45">
        <v>1696422243</v>
      </c>
      <c r="D47" s="14"/>
      <c r="E47" s="10"/>
      <c r="F47" s="10"/>
      <c r="G47" s="10"/>
    </row>
    <row r="48" spans="1:8">
      <c r="A48" s="96" t="s">
        <v>1113</v>
      </c>
      <c r="B48" s="46"/>
      <c r="C48" s="45" t="s">
        <v>1967</v>
      </c>
      <c r="D48" s="45"/>
      <c r="E48" s="10"/>
      <c r="F48" s="10"/>
      <c r="G48" s="10"/>
    </row>
    <row r="49" spans="1:7">
      <c r="A49" s="96" t="s">
        <v>1114</v>
      </c>
      <c r="B49" s="46"/>
      <c r="C49" s="45" t="s">
        <v>1968</v>
      </c>
      <c r="D49" s="18"/>
      <c r="E49" s="10"/>
      <c r="F49" s="10"/>
      <c r="G49" s="10"/>
    </row>
    <row r="50" spans="1:7">
      <c r="A50" s="96" t="s">
        <v>72</v>
      </c>
      <c r="B50" s="46"/>
      <c r="C50" s="45" t="s">
        <v>1914</v>
      </c>
      <c r="D50" s="34"/>
      <c r="E50" s="10"/>
      <c r="F50" s="10"/>
      <c r="G50" s="10"/>
    </row>
    <row r="51" spans="1:7">
      <c r="A51" s="96" t="s">
        <v>54</v>
      </c>
      <c r="B51" s="46"/>
      <c r="C51" s="100">
        <v>45203</v>
      </c>
      <c r="D51" s="14"/>
      <c r="E51" s="10"/>
      <c r="F51" s="10"/>
      <c r="G51" s="10"/>
    </row>
    <row r="52" spans="1:7">
      <c r="A52" s="96" t="s">
        <v>56</v>
      </c>
      <c r="B52" s="46"/>
      <c r="C52" s="101">
        <v>0.51670138888888884</v>
      </c>
      <c r="D52" s="45"/>
      <c r="E52" s="10"/>
      <c r="F52" s="10"/>
      <c r="G52" s="10"/>
    </row>
    <row r="53" spans="1:7">
      <c r="A53" s="96" t="s">
        <v>75</v>
      </c>
      <c r="B53" s="46"/>
      <c r="C53" s="102" t="s">
        <v>1989</v>
      </c>
      <c r="D53" s="14"/>
      <c r="E53" s="10"/>
      <c r="F53" s="10"/>
      <c r="G53" s="10"/>
    </row>
    <row r="54" spans="1:7">
      <c r="A54" s="96" t="s">
        <v>290</v>
      </c>
      <c r="B54" s="46"/>
      <c r="C54" s="45">
        <v>-500</v>
      </c>
      <c r="D54" s="14"/>
      <c r="E54" s="10"/>
      <c r="F54" s="10"/>
      <c r="G54" s="10"/>
    </row>
    <row r="55" spans="1:7">
      <c r="A55" s="96" t="s">
        <v>58</v>
      </c>
      <c r="B55" s="46"/>
      <c r="C55" s="45">
        <v>513020480</v>
      </c>
      <c r="D55" s="19" t="s">
        <v>67</v>
      </c>
      <c r="E55" s="10"/>
      <c r="F55" s="10"/>
      <c r="G55" s="10"/>
    </row>
    <row r="56" spans="1:7">
      <c r="A56" s="96" t="s">
        <v>60</v>
      </c>
      <c r="B56" s="46"/>
      <c r="C56" s="45" t="s">
        <v>1969</v>
      </c>
      <c r="D56" s="19" t="s">
        <v>63</v>
      </c>
      <c r="E56" s="10"/>
      <c r="F56" s="10"/>
      <c r="G56" s="10"/>
    </row>
    <row r="57" spans="1:7">
      <c r="A57" s="96" t="s">
        <v>64</v>
      </c>
      <c r="B57" s="46"/>
      <c r="C57" s="45" t="s">
        <v>1970</v>
      </c>
      <c r="D57" s="45"/>
      <c r="E57" s="10"/>
      <c r="F57" s="10"/>
      <c r="G57" s="10"/>
    </row>
    <row r="58" spans="1:7">
      <c r="A58" s="96" t="s">
        <v>295</v>
      </c>
      <c r="B58" s="46"/>
      <c r="C58" s="45" t="s">
        <v>1971</v>
      </c>
      <c r="D58" s="45"/>
      <c r="E58" s="10"/>
      <c r="F58" s="10"/>
      <c r="G58" s="10"/>
    </row>
    <row r="59" spans="1:7">
      <c r="A59" s="96" t="s">
        <v>68</v>
      </c>
      <c r="B59" s="46"/>
      <c r="C59" s="45" t="s">
        <v>1919</v>
      </c>
      <c r="D59" s="19" t="s">
        <v>71</v>
      </c>
      <c r="E59" s="10"/>
      <c r="F59" s="10"/>
      <c r="G59" s="10"/>
    </row>
    <row r="60" spans="1:7">
      <c r="A60" s="96" t="s">
        <v>123</v>
      </c>
      <c r="B60" s="46"/>
      <c r="C60" s="45">
        <v>2390</v>
      </c>
      <c r="D60" s="19" t="s">
        <v>128</v>
      </c>
      <c r="E60" s="10"/>
      <c r="F60" s="10"/>
      <c r="G60" s="10"/>
    </row>
    <row r="61" spans="1:7">
      <c r="A61" s="96" t="s">
        <v>110</v>
      </c>
      <c r="B61" s="46"/>
      <c r="C61" s="45" t="s">
        <v>1972</v>
      </c>
      <c r="D61" s="45"/>
      <c r="E61" s="10"/>
      <c r="F61" s="10"/>
      <c r="G61" s="10"/>
    </row>
    <row r="62" spans="1:7">
      <c r="A62" s="96" t="s">
        <v>125</v>
      </c>
      <c r="B62" s="46"/>
      <c r="C62" s="45" t="s">
        <v>1973</v>
      </c>
      <c r="D62" s="45"/>
      <c r="E62" s="10"/>
      <c r="F62" s="10"/>
      <c r="G62" s="10"/>
    </row>
    <row r="63" spans="1:7">
      <c r="A63" s="96" t="s">
        <v>113</v>
      </c>
      <c r="B63" s="46"/>
      <c r="C63" s="45">
        <v>92273386</v>
      </c>
      <c r="D63" s="19" t="s">
        <v>115</v>
      </c>
      <c r="E63" s="10"/>
      <c r="F63" s="10"/>
      <c r="G63" s="10"/>
    </row>
    <row r="64" spans="1:7">
      <c r="A64" s="96" t="s">
        <v>77</v>
      </c>
      <c r="B64" s="46"/>
      <c r="C64" s="101" t="s">
        <v>1974</v>
      </c>
      <c r="D64" s="19" t="s">
        <v>80</v>
      </c>
      <c r="E64" s="10"/>
      <c r="F64" s="10"/>
      <c r="G64" s="10"/>
    </row>
    <row r="65" spans="1:7">
      <c r="A65" s="96" t="s">
        <v>81</v>
      </c>
      <c r="B65" s="46"/>
      <c r="C65" s="45">
        <v>53354</v>
      </c>
      <c r="D65" s="19" t="s">
        <v>83</v>
      </c>
      <c r="E65" s="10"/>
      <c r="F65" s="10"/>
      <c r="G65" s="10"/>
    </row>
    <row r="66" spans="1:7">
      <c r="A66" s="96" t="s">
        <v>136</v>
      </c>
      <c r="B66" s="46"/>
      <c r="C66" s="45" t="s">
        <v>1928</v>
      </c>
      <c r="D66" s="45"/>
      <c r="E66" s="10"/>
      <c r="F66" s="10"/>
      <c r="G66" s="10"/>
    </row>
    <row r="67" spans="1:7">
      <c r="A67" s="96" t="s">
        <v>84</v>
      </c>
      <c r="B67" s="46"/>
      <c r="C67" s="45" t="s">
        <v>1975</v>
      </c>
      <c r="D67" s="19" t="s">
        <v>87</v>
      </c>
      <c r="E67" s="10"/>
      <c r="F67" s="10"/>
      <c r="G67" s="10"/>
    </row>
    <row r="68" spans="1:7">
      <c r="A68" s="96" t="s">
        <v>88</v>
      </c>
      <c r="B68" s="46"/>
      <c r="C68" s="45" t="s">
        <v>1975</v>
      </c>
      <c r="D68" s="45"/>
      <c r="E68" s="10"/>
      <c r="F68" s="10"/>
      <c r="G68" s="10"/>
    </row>
    <row r="69" spans="1:7">
      <c r="A69" s="96" t="s">
        <v>104</v>
      </c>
      <c r="B69" s="46"/>
      <c r="C69" s="45" t="s">
        <v>1976</v>
      </c>
      <c r="D69" s="45"/>
      <c r="E69" s="10"/>
      <c r="F69" s="10"/>
      <c r="G69" s="10"/>
    </row>
    <row r="70" spans="1:7">
      <c r="A70" s="96" t="s">
        <v>91</v>
      </c>
      <c r="B70" s="46"/>
      <c r="C70" s="45" t="s">
        <v>1952</v>
      </c>
      <c r="D70" s="19" t="s">
        <v>94</v>
      </c>
      <c r="E70" s="10"/>
      <c r="F70" s="10"/>
      <c r="G70" s="10"/>
    </row>
    <row r="71" spans="1:7">
      <c r="A71" s="96" t="s">
        <v>95</v>
      </c>
      <c r="B71" s="46"/>
      <c r="C71" s="45">
        <v>25</v>
      </c>
      <c r="D71" s="19" t="s">
        <v>97</v>
      </c>
      <c r="E71" s="10"/>
      <c r="F71" s="10"/>
      <c r="G71" s="10"/>
    </row>
    <row r="72" spans="1:7">
      <c r="A72" s="96" t="s">
        <v>133</v>
      </c>
      <c r="B72" s="46"/>
      <c r="C72" s="45" t="s">
        <v>1977</v>
      </c>
      <c r="D72" s="19"/>
      <c r="E72" s="10"/>
      <c r="F72" s="10"/>
      <c r="G72" s="10"/>
    </row>
    <row r="73" spans="1:7">
      <c r="A73" s="96" t="s">
        <v>98</v>
      </c>
      <c r="B73" s="46"/>
      <c r="C73" s="45" t="s">
        <v>1978</v>
      </c>
      <c r="D73" s="19" t="s">
        <v>101</v>
      </c>
      <c r="E73" s="10"/>
      <c r="F73" s="10"/>
      <c r="G73" s="10"/>
    </row>
    <row r="74" spans="1:7">
      <c r="A74" s="96" t="s">
        <v>102</v>
      </c>
      <c r="B74" s="46"/>
      <c r="C74" s="45" t="s">
        <v>1979</v>
      </c>
      <c r="D74" s="19"/>
      <c r="E74" s="10"/>
      <c r="F74" s="10"/>
      <c r="G74" s="10"/>
    </row>
    <row r="75" spans="1:7">
      <c r="A75" s="96" t="s">
        <v>107</v>
      </c>
      <c r="B75" s="46"/>
      <c r="C75" s="45" t="s">
        <v>1980</v>
      </c>
      <c r="D75" s="14"/>
      <c r="E75" s="10"/>
      <c r="F75" s="10"/>
      <c r="G75" s="10"/>
    </row>
    <row r="76" spans="1:7">
      <c r="A76" s="96" t="s">
        <v>116</v>
      </c>
      <c r="B76" s="46"/>
      <c r="C76" s="45">
        <v>6</v>
      </c>
      <c r="D76" s="19" t="s">
        <v>118</v>
      </c>
      <c r="E76" s="10"/>
      <c r="F76" s="10"/>
      <c r="G76" s="10"/>
    </row>
    <row r="77" spans="1:7">
      <c r="A77" s="96" t="s">
        <v>129</v>
      </c>
      <c r="B77" s="46"/>
      <c r="C77" s="45" t="s">
        <v>1981</v>
      </c>
      <c r="D77" s="19" t="s">
        <v>132</v>
      </c>
      <c r="E77" s="10"/>
      <c r="F77" s="10"/>
      <c r="G77" s="10"/>
    </row>
    <row r="78" spans="1:7">
      <c r="A78" s="96" t="s">
        <v>373</v>
      </c>
      <c r="B78" s="46"/>
      <c r="C78" s="45" t="s">
        <v>1982</v>
      </c>
      <c r="D78" s="19"/>
      <c r="E78" s="10"/>
      <c r="F78" s="10"/>
      <c r="G78" s="10"/>
    </row>
    <row r="79" spans="1:7">
      <c r="A79" s="96" t="s">
        <v>119</v>
      </c>
      <c r="B79" s="46"/>
      <c r="C79" s="45" t="s">
        <v>1983</v>
      </c>
      <c r="D79" s="19" t="s">
        <v>122</v>
      </c>
      <c r="E79" s="10"/>
      <c r="F79" s="10"/>
      <c r="G79" s="10"/>
    </row>
    <row r="80" spans="1:7">
      <c r="A80" s="96" t="s">
        <v>1806</v>
      </c>
      <c r="B80" s="46"/>
      <c r="C80" s="45" t="s">
        <v>1984</v>
      </c>
      <c r="D80" s="45"/>
      <c r="E80" s="10"/>
      <c r="F80" s="10"/>
      <c r="G80" s="10"/>
    </row>
    <row r="81" spans="1:8">
      <c r="A81" s="96" t="s">
        <v>1807</v>
      </c>
      <c r="B81" s="46"/>
      <c r="C81" s="45" t="s">
        <v>1985</v>
      </c>
      <c r="D81" s="45"/>
      <c r="E81" s="10"/>
      <c r="F81" s="10"/>
      <c r="G81" s="10"/>
    </row>
    <row r="82" spans="1:8" ht="46.8">
      <c r="A82" s="96" t="s">
        <v>1963</v>
      </c>
      <c r="B82" s="46"/>
      <c r="C82" s="45" t="s">
        <v>1986</v>
      </c>
      <c r="D82" s="19" t="s">
        <v>1812</v>
      </c>
      <c r="E82" s="10"/>
      <c r="F82" s="10"/>
      <c r="G82" s="10"/>
    </row>
    <row r="83" spans="1:8">
      <c r="A83" s="96" t="s">
        <v>1964</v>
      </c>
      <c r="B83" s="46"/>
      <c r="C83" s="45" t="s">
        <v>1985</v>
      </c>
      <c r="D83" s="19" t="s">
        <v>1813</v>
      </c>
      <c r="E83" s="10"/>
      <c r="F83" s="10"/>
      <c r="G83" s="10"/>
    </row>
    <row r="84" spans="1:8">
      <c r="A84" s="96" t="s">
        <v>793</v>
      </c>
      <c r="B84" s="46"/>
      <c r="C84" s="45" t="s">
        <v>1987</v>
      </c>
      <c r="D84" s="19"/>
      <c r="E84" s="10"/>
      <c r="F84" s="10"/>
      <c r="G84" s="10"/>
    </row>
    <row r="85" spans="1:8" ht="31.2">
      <c r="A85" s="96" t="s">
        <v>1965</v>
      </c>
      <c r="B85" s="46"/>
      <c r="C85" s="45" t="s">
        <v>1988</v>
      </c>
      <c r="D85" s="19" t="s">
        <v>312</v>
      </c>
      <c r="E85" s="10"/>
      <c r="F85" s="10"/>
      <c r="G85" s="10"/>
    </row>
    <row r="86" spans="1:8">
      <c r="A86" s="96" t="s">
        <v>1966</v>
      </c>
      <c r="B86" s="46"/>
      <c r="C86" s="45">
        <v>28967</v>
      </c>
      <c r="D86" s="19" t="s">
        <v>1093</v>
      </c>
      <c r="E86" s="10"/>
      <c r="F86" s="10"/>
      <c r="G86" s="10"/>
    </row>
    <row r="87" spans="1:8">
      <c r="A87" s="13"/>
      <c r="B87" s="10"/>
      <c r="C87" s="10"/>
      <c r="D87" s="10"/>
      <c r="E87" s="10"/>
      <c r="F87" s="10"/>
      <c r="G87" s="10"/>
      <c r="H87" s="10"/>
    </row>
    <row r="88" spans="1:8">
      <c r="A88" s="13"/>
      <c r="B88" s="10"/>
      <c r="C88" s="10"/>
      <c r="D88" s="10"/>
      <c r="E88" s="10"/>
      <c r="F88" s="10"/>
      <c r="G88" s="10"/>
      <c r="H88" s="10"/>
    </row>
    <row r="89" spans="1:8">
      <c r="A89" s="113" t="s">
        <v>196</v>
      </c>
      <c r="B89" s="113"/>
      <c r="C89" s="113"/>
      <c r="D89" s="113"/>
      <c r="E89" s="113"/>
      <c r="F89" s="113"/>
      <c r="G89" s="113"/>
      <c r="H89" s="113"/>
    </row>
    <row r="90" spans="1:8">
      <c r="A90" s="14" t="s">
        <v>1432</v>
      </c>
      <c r="B90" s="14" t="s">
        <v>197</v>
      </c>
      <c r="C90" s="14" t="s">
        <v>198</v>
      </c>
      <c r="D90" s="14" t="s">
        <v>199</v>
      </c>
      <c r="E90" s="14" t="s">
        <v>200</v>
      </c>
      <c r="F90" s="14" t="s">
        <v>202</v>
      </c>
      <c r="G90" s="14" t="s">
        <v>21</v>
      </c>
      <c r="H90" s="14" t="s">
        <v>203</v>
      </c>
    </row>
    <row r="91" spans="1:8">
      <c r="A91" s="77"/>
      <c r="B91" s="83"/>
      <c r="C91" s="19"/>
      <c r="D91" s="19"/>
      <c r="E91" s="19"/>
      <c r="F91" s="85"/>
      <c r="G91" s="4"/>
      <c r="H91" s="19"/>
    </row>
    <row r="92" spans="1:8">
      <c r="A92" s="77"/>
      <c r="B92" s="83"/>
      <c r="C92" s="5"/>
      <c r="D92" s="5"/>
      <c r="E92" s="5"/>
      <c r="F92" s="85"/>
      <c r="G92" s="84"/>
      <c r="H92" s="5"/>
    </row>
  </sheetData>
  <mergeCells count="8">
    <mergeCell ref="A44:D44"/>
    <mergeCell ref="A89:H89"/>
    <mergeCell ref="A11:B11"/>
    <mergeCell ref="A18:B18"/>
    <mergeCell ref="A28:B28"/>
    <mergeCell ref="A30:B30"/>
    <mergeCell ref="A32:B32"/>
    <mergeCell ref="A34:B34"/>
  </mergeCells>
  <conditionalFormatting sqref="B68">
    <cfRule type="duplicateValues" dxfId="0" priority="1"/>
  </conditionalFormatting>
  <dataValidations count="5">
    <dataValidation type="list" allowBlank="1" showInputMessage="1" showErrorMessage="1" sqref="B23:B24" xr:uid="{C4734F38-6BF9-4215-B5BB-CED02BBEEC45}">
      <formula1>"N/A,Tags,Log Message Source"</formula1>
    </dataValidation>
    <dataValidation type="list" allowBlank="1" showInputMessage="1" showErrorMessage="1" sqref="B37" xr:uid="{C5FC302A-4786-4F5F-BC9C-C01DE911112A}">
      <formula1>"JSON,XML,CEF,LEEF,Key-Value Pairs,Delimited,Limited Structure"</formula1>
    </dataValidation>
    <dataValidation type="list" allowBlank="1" showInputMessage="1" showErrorMessage="1" sqref="B25" xr:uid="{D9C39465-38C5-41F5-896C-06EC56C9949C}">
      <formula1>"N/A,Tags Normal,Tags Reversed,Direct Assignment"</formula1>
    </dataValidation>
    <dataValidation type="list" allowBlank="1" showInputMessage="1" showErrorMessage="1" sqref="B29 B31 B33 B35 B19:B21" xr:uid="{BDAB2011-437F-431A-A905-FB6851FACE1B}">
      <formula1>"Checked,Unchecked"</formula1>
    </dataValidation>
    <dataValidation type="list" allowBlank="1" showInputMessage="1" showErrorMessage="1" sqref="B22" xr:uid="{3EC99B64-7AFD-4F75-83FF-12ABB99BC60E}">
      <formula1>"Tags Normal,Tags Reversed,Local"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D601-69E9-4D0E-9E0B-DAF34B9440E0}">
  <dimension ref="A1:H58"/>
  <sheetViews>
    <sheetView zoomScaleNormal="100" workbookViewId="0">
      <selection activeCell="A49" sqref="A49:H49"/>
    </sheetView>
  </sheetViews>
  <sheetFormatPr defaultColWidth="10.69921875" defaultRowHeight="15.6"/>
  <cols>
    <col min="1" max="1" width="25.796875" style="20" customWidth="1"/>
    <col min="2" max="3" width="40.796875" style="7" customWidth="1"/>
    <col min="4" max="4" width="30.796875" style="7" customWidth="1"/>
    <col min="5" max="5" width="35.796875" style="7" customWidth="1"/>
    <col min="6" max="8" width="40.796875" style="7" customWidth="1"/>
    <col min="9" max="16384" width="10.69921875" style="7"/>
  </cols>
  <sheetData>
    <row r="1" spans="1:8">
      <c r="A1" s="6" t="s">
        <v>4</v>
      </c>
      <c r="B1" s="7" t="s">
        <v>5</v>
      </c>
    </row>
    <row r="2" spans="1:8">
      <c r="A2" s="6" t="s">
        <v>6</v>
      </c>
      <c r="B2" s="7" t="s">
        <v>7</v>
      </c>
    </row>
    <row r="3" spans="1:8">
      <c r="A3" s="6" t="s">
        <v>8</v>
      </c>
      <c r="B3" s="7" t="s">
        <v>772</v>
      </c>
    </row>
    <row r="4" spans="1:8">
      <c r="A4" s="6" t="s">
        <v>10</v>
      </c>
    </row>
    <row r="6" spans="1:8">
      <c r="A6" s="8" t="s">
        <v>12</v>
      </c>
      <c r="B6" s="9" t="s">
        <v>205</v>
      </c>
      <c r="C6" s="10"/>
      <c r="D6" s="10"/>
      <c r="E6" s="10"/>
      <c r="F6" s="10"/>
      <c r="G6" s="10"/>
      <c r="H6" s="10"/>
    </row>
    <row r="7" spans="1:8">
      <c r="A7" s="11"/>
      <c r="B7" s="9"/>
      <c r="C7" s="10"/>
      <c r="D7" s="10"/>
      <c r="E7" s="10"/>
      <c r="F7" s="10"/>
      <c r="G7" s="10"/>
      <c r="H7" s="10"/>
    </row>
    <row r="8" spans="1:8">
      <c r="A8" s="8" t="s">
        <v>14</v>
      </c>
      <c r="B8" s="12"/>
      <c r="C8" s="10"/>
      <c r="D8" s="10"/>
      <c r="E8" s="10"/>
      <c r="F8" s="10"/>
      <c r="G8" s="10"/>
      <c r="H8" s="10"/>
    </row>
    <row r="9" spans="1:8">
      <c r="A9" s="11"/>
      <c r="B9" s="9"/>
      <c r="C9" s="10"/>
      <c r="D9" s="10"/>
      <c r="E9" s="10"/>
      <c r="F9" s="10"/>
      <c r="G9" s="10"/>
      <c r="H9" s="10"/>
    </row>
    <row r="10" spans="1:8">
      <c r="A10" s="11"/>
      <c r="B10" s="9"/>
      <c r="C10" s="10"/>
      <c r="D10" s="10"/>
      <c r="E10" s="10"/>
      <c r="F10" s="10"/>
      <c r="G10" s="10"/>
      <c r="H10" s="10"/>
    </row>
    <row r="11" spans="1:8">
      <c r="A11" s="109" t="s">
        <v>16</v>
      </c>
      <c r="B11" s="109"/>
      <c r="C11" s="10"/>
      <c r="D11" s="10"/>
      <c r="E11" s="10"/>
      <c r="F11" s="10"/>
      <c r="G11" s="10"/>
      <c r="H11" s="10"/>
    </row>
    <row r="12" spans="1:8">
      <c r="A12" s="8" t="s">
        <v>17</v>
      </c>
      <c r="B12" s="36" t="s">
        <v>1120</v>
      </c>
      <c r="C12" s="10"/>
      <c r="D12" s="10"/>
      <c r="E12" s="10"/>
      <c r="F12" s="10"/>
      <c r="G12" s="10"/>
      <c r="H12" s="10"/>
    </row>
    <row r="13" spans="1:8">
      <c r="A13" s="8" t="s">
        <v>19</v>
      </c>
      <c r="B13" s="37"/>
      <c r="C13" s="10"/>
      <c r="D13" s="10"/>
      <c r="E13" s="10"/>
      <c r="F13" s="10"/>
      <c r="G13" s="10"/>
      <c r="H13" s="10"/>
    </row>
    <row r="14" spans="1:8">
      <c r="A14" s="8" t="s">
        <v>20</v>
      </c>
      <c r="B14" s="37"/>
      <c r="C14" s="10"/>
      <c r="D14" s="10"/>
      <c r="E14" s="10"/>
      <c r="F14" s="10"/>
      <c r="G14" s="10"/>
      <c r="H14" s="10"/>
    </row>
    <row r="15" spans="1:8" ht="31.2">
      <c r="A15" s="8" t="s">
        <v>21</v>
      </c>
      <c r="B15" s="38" t="s">
        <v>1121</v>
      </c>
      <c r="C15" s="10"/>
      <c r="D15" s="10"/>
      <c r="E15" s="10"/>
      <c r="F15" s="10"/>
      <c r="G15" s="10"/>
      <c r="H15" s="10"/>
    </row>
    <row r="16" spans="1:8">
      <c r="A16" s="8" t="s">
        <v>23</v>
      </c>
      <c r="B16" s="11"/>
      <c r="C16" s="10"/>
      <c r="D16" s="10"/>
      <c r="E16" s="10"/>
      <c r="F16" s="10"/>
      <c r="G16" s="10"/>
      <c r="H16" s="10"/>
    </row>
    <row r="17" spans="1:8">
      <c r="A17" s="11"/>
      <c r="B17" s="9"/>
      <c r="C17" s="10"/>
      <c r="D17" s="10"/>
      <c r="E17" s="10"/>
      <c r="F17" s="10"/>
      <c r="G17" s="10"/>
      <c r="H17" s="10"/>
    </row>
    <row r="18" spans="1:8">
      <c r="A18" s="109" t="s">
        <v>24</v>
      </c>
      <c r="B18" s="109"/>
      <c r="C18" s="10"/>
      <c r="D18" s="10"/>
      <c r="E18" s="10"/>
      <c r="F18" s="10"/>
      <c r="G18" s="10"/>
      <c r="H18" s="10"/>
    </row>
    <row r="19" spans="1:8" ht="31.2">
      <c r="A19" s="8" t="s">
        <v>25</v>
      </c>
      <c r="B19" s="9" t="s">
        <v>26</v>
      </c>
      <c r="C19" s="10"/>
      <c r="D19" s="10"/>
      <c r="E19" s="10"/>
      <c r="F19" s="10"/>
      <c r="G19" s="10"/>
      <c r="H19" s="10"/>
    </row>
    <row r="20" spans="1:8" ht="31.2">
      <c r="A20" s="8" t="s">
        <v>27</v>
      </c>
      <c r="B20" s="9" t="s">
        <v>28</v>
      </c>
      <c r="C20" s="10"/>
      <c r="D20" s="10"/>
      <c r="E20" s="10"/>
      <c r="F20" s="10"/>
      <c r="G20" s="10"/>
      <c r="H20" s="10"/>
    </row>
    <row r="21" spans="1:8" ht="31.2">
      <c r="A21" s="8" t="s">
        <v>29</v>
      </c>
      <c r="B21" s="9" t="s">
        <v>26</v>
      </c>
      <c r="C21" s="10"/>
      <c r="D21" s="10"/>
      <c r="E21" s="10"/>
      <c r="F21" s="10"/>
      <c r="G21" s="10"/>
      <c r="H21" s="10"/>
    </row>
    <row r="22" spans="1:8">
      <c r="A22" s="8" t="s">
        <v>30</v>
      </c>
      <c r="B22" s="9" t="s">
        <v>31</v>
      </c>
      <c r="C22" s="10"/>
      <c r="D22" s="10"/>
      <c r="E22" s="10"/>
      <c r="F22" s="10"/>
      <c r="G22" s="10"/>
      <c r="H22" s="10"/>
    </row>
    <row r="23" spans="1:8">
      <c r="A23" s="8" t="s">
        <v>32</v>
      </c>
      <c r="B23" s="9" t="s">
        <v>33</v>
      </c>
      <c r="C23" s="10"/>
      <c r="D23" s="10"/>
      <c r="E23" s="10"/>
      <c r="F23" s="10"/>
      <c r="G23" s="10"/>
      <c r="H23" s="10"/>
    </row>
    <row r="24" spans="1:8" ht="31.2">
      <c r="A24" s="8" t="s">
        <v>34</v>
      </c>
      <c r="B24" s="9" t="s">
        <v>33</v>
      </c>
      <c r="C24" s="10"/>
      <c r="D24" s="10"/>
      <c r="E24" s="10"/>
      <c r="F24" s="10"/>
      <c r="G24" s="10"/>
      <c r="H24" s="10"/>
    </row>
    <row r="25" spans="1:8" ht="31.2">
      <c r="A25" s="8" t="s">
        <v>35</v>
      </c>
      <c r="B25" s="9" t="s">
        <v>33</v>
      </c>
      <c r="C25" s="10"/>
      <c r="D25" s="10"/>
      <c r="E25" s="10"/>
      <c r="F25" s="10"/>
      <c r="G25" s="10"/>
      <c r="H25" s="10"/>
    </row>
    <row r="26" spans="1:8">
      <c r="A26" s="8" t="s">
        <v>36</v>
      </c>
      <c r="B26" s="9"/>
      <c r="C26" s="10"/>
      <c r="D26" s="10"/>
      <c r="E26" s="10"/>
      <c r="F26" s="10"/>
      <c r="G26" s="10"/>
      <c r="H26" s="10"/>
    </row>
    <row r="27" spans="1:8">
      <c r="A27" s="11"/>
      <c r="B27" s="9"/>
      <c r="C27" s="10"/>
      <c r="D27" s="10"/>
      <c r="E27" s="10"/>
      <c r="F27" s="10"/>
      <c r="G27" s="10"/>
      <c r="H27" s="10"/>
    </row>
    <row r="28" spans="1:8">
      <c r="A28" s="109" t="s">
        <v>37</v>
      </c>
      <c r="B28" s="109"/>
      <c r="C28" s="10"/>
      <c r="D28" s="10"/>
      <c r="E28" s="10"/>
      <c r="F28" s="10"/>
      <c r="G28" s="10"/>
      <c r="H28" s="10"/>
    </row>
    <row r="29" spans="1:8">
      <c r="A29" s="8" t="s">
        <v>38</v>
      </c>
      <c r="B29" s="9" t="s">
        <v>26</v>
      </c>
      <c r="C29" s="10"/>
      <c r="D29" s="10"/>
      <c r="E29" s="10"/>
      <c r="F29" s="10"/>
      <c r="G29" s="10"/>
      <c r="H29" s="10"/>
    </row>
    <row r="30" spans="1:8">
      <c r="A30" s="109" t="s">
        <v>39</v>
      </c>
      <c r="B30" s="109"/>
      <c r="C30" s="10"/>
      <c r="D30" s="10"/>
      <c r="E30" s="10"/>
      <c r="F30" s="10"/>
      <c r="G30" s="10"/>
      <c r="H30" s="10"/>
    </row>
    <row r="31" spans="1:8" ht="31.2">
      <c r="A31" s="8" t="s">
        <v>40</v>
      </c>
      <c r="B31" s="9" t="s">
        <v>26</v>
      </c>
      <c r="C31" s="10"/>
      <c r="D31" s="10"/>
      <c r="E31" s="10"/>
      <c r="F31" s="10"/>
      <c r="G31" s="10"/>
      <c r="H31" s="10"/>
    </row>
    <row r="32" spans="1:8">
      <c r="A32" s="109" t="s">
        <v>41</v>
      </c>
      <c r="B32" s="109"/>
      <c r="C32" s="10"/>
      <c r="D32" s="10"/>
      <c r="E32" s="10"/>
      <c r="F32" s="10"/>
      <c r="G32" s="10"/>
      <c r="H32" s="10"/>
    </row>
    <row r="33" spans="1:8" ht="46.8">
      <c r="A33" s="8" t="s">
        <v>42</v>
      </c>
      <c r="B33" s="9" t="s">
        <v>28</v>
      </c>
      <c r="C33" s="10"/>
      <c r="D33" s="10"/>
      <c r="E33" s="10"/>
      <c r="F33" s="10"/>
      <c r="G33" s="10"/>
      <c r="H33" s="10"/>
    </row>
    <row r="34" spans="1:8">
      <c r="A34" s="109" t="s">
        <v>43</v>
      </c>
      <c r="B34" s="109"/>
      <c r="C34" s="10"/>
      <c r="D34" s="10"/>
      <c r="E34" s="10"/>
      <c r="F34" s="10"/>
      <c r="G34" s="10"/>
      <c r="H34" s="10"/>
    </row>
    <row r="35" spans="1:8">
      <c r="A35" s="8" t="s">
        <v>38</v>
      </c>
      <c r="B35" s="9" t="s">
        <v>26</v>
      </c>
      <c r="C35" s="10"/>
      <c r="D35" s="10"/>
      <c r="E35" s="10"/>
      <c r="F35" s="10"/>
      <c r="G35" s="10"/>
      <c r="H35" s="10"/>
    </row>
    <row r="36" spans="1:8">
      <c r="A36" s="11"/>
      <c r="B36" s="9"/>
      <c r="C36" s="10"/>
      <c r="D36" s="10"/>
      <c r="E36" s="10"/>
      <c r="F36" s="10"/>
      <c r="G36" s="10"/>
      <c r="H36" s="10"/>
    </row>
    <row r="37" spans="1:8">
      <c r="A37" s="8" t="s">
        <v>44</v>
      </c>
      <c r="B37" s="9" t="s">
        <v>45</v>
      </c>
      <c r="C37" s="10"/>
      <c r="D37" s="10"/>
      <c r="E37" s="10"/>
      <c r="F37" s="10"/>
      <c r="G37" s="10"/>
      <c r="H37" s="10"/>
    </row>
    <row r="38" spans="1:8">
      <c r="A38" s="11"/>
      <c r="B38" s="9"/>
      <c r="C38" s="10"/>
      <c r="D38" s="10"/>
      <c r="E38" s="10"/>
      <c r="F38" s="10"/>
      <c r="G38" s="10"/>
      <c r="H38" s="10"/>
    </row>
    <row r="39" spans="1:8">
      <c r="A39" s="8" t="s">
        <v>46</v>
      </c>
      <c r="B39" s="9"/>
      <c r="C39" s="10"/>
      <c r="D39" s="10"/>
      <c r="E39" s="10"/>
      <c r="F39" s="10"/>
      <c r="G39" s="10"/>
      <c r="H39" s="10"/>
    </row>
    <row r="40" spans="1:8">
      <c r="A40" s="11"/>
      <c r="B40" s="9"/>
      <c r="C40" s="10"/>
      <c r="D40" s="10"/>
      <c r="E40" s="10"/>
      <c r="F40" s="10"/>
      <c r="G40" s="10"/>
      <c r="H40" s="10"/>
    </row>
    <row r="41" spans="1:8">
      <c r="A41" s="8" t="s">
        <v>48</v>
      </c>
      <c r="B41" s="11"/>
      <c r="C41" s="13"/>
      <c r="D41" s="13"/>
      <c r="E41" s="13"/>
      <c r="F41" s="10"/>
      <c r="G41" s="10"/>
      <c r="H41" s="10"/>
    </row>
    <row r="42" spans="1:8">
      <c r="A42" s="8"/>
      <c r="B42" s="9"/>
      <c r="C42" s="10"/>
      <c r="D42" s="10"/>
      <c r="E42" s="10"/>
      <c r="F42" s="10"/>
      <c r="G42" s="10"/>
      <c r="H42" s="10"/>
    </row>
    <row r="43" spans="1:8">
      <c r="A43" s="13"/>
      <c r="B43" s="10"/>
      <c r="C43" s="10"/>
      <c r="D43" s="10"/>
      <c r="E43" s="10"/>
      <c r="F43" s="10"/>
      <c r="G43" s="10"/>
      <c r="H43" s="10"/>
    </row>
    <row r="44" spans="1:8" ht="16.05" customHeight="1">
      <c r="A44" s="110" t="s">
        <v>50</v>
      </c>
      <c r="B44" s="111"/>
      <c r="C44" s="111"/>
      <c r="D44" s="112"/>
      <c r="E44" s="10"/>
      <c r="F44" s="10"/>
      <c r="G44" s="10"/>
    </row>
    <row r="45" spans="1:8">
      <c r="A45" s="14" t="s">
        <v>51</v>
      </c>
      <c r="B45" s="15" t="s">
        <v>23</v>
      </c>
      <c r="C45" s="15" t="s">
        <v>52</v>
      </c>
      <c r="D45" s="15" t="s">
        <v>53</v>
      </c>
      <c r="E45" s="10"/>
      <c r="F45" s="10"/>
      <c r="G45" s="10"/>
    </row>
    <row r="46" spans="1:8" ht="31.2">
      <c r="A46" s="4"/>
      <c r="B46" s="4"/>
      <c r="C46" s="19" t="s">
        <v>1145</v>
      </c>
      <c r="D46" s="39" t="s">
        <v>1122</v>
      </c>
      <c r="E46" s="10"/>
      <c r="F46" s="10"/>
      <c r="G46" s="10"/>
    </row>
    <row r="47" spans="1:8">
      <c r="A47" s="13"/>
      <c r="B47" s="10"/>
      <c r="C47" s="10"/>
      <c r="D47" s="10"/>
      <c r="E47" s="10"/>
      <c r="F47" s="10"/>
      <c r="G47" s="10"/>
      <c r="H47" s="10"/>
    </row>
    <row r="48" spans="1:8">
      <c r="A48" s="13"/>
      <c r="B48" s="10"/>
      <c r="C48" s="10"/>
      <c r="D48" s="10"/>
      <c r="E48" s="10"/>
      <c r="F48" s="10"/>
      <c r="G48" s="10"/>
      <c r="H48" s="10"/>
    </row>
    <row r="49" spans="1:8">
      <c r="A49" s="113" t="s">
        <v>196</v>
      </c>
      <c r="B49" s="113"/>
      <c r="C49" s="113"/>
      <c r="D49" s="113"/>
      <c r="E49" s="113"/>
      <c r="F49" s="113"/>
      <c r="G49" s="113"/>
      <c r="H49" s="113"/>
    </row>
    <row r="50" spans="1:8">
      <c r="A50" s="14" t="s">
        <v>197</v>
      </c>
      <c r="B50" s="14" t="s">
        <v>198</v>
      </c>
      <c r="C50" s="14" t="s">
        <v>199</v>
      </c>
      <c r="D50" s="14" t="s">
        <v>200</v>
      </c>
      <c r="E50" s="14" t="s">
        <v>201</v>
      </c>
      <c r="F50" s="14" t="s">
        <v>202</v>
      </c>
      <c r="G50" s="14" t="s">
        <v>21</v>
      </c>
      <c r="H50" s="14" t="s">
        <v>203</v>
      </c>
    </row>
    <row r="51" spans="1:8" ht="31.2">
      <c r="A51" s="19" t="s">
        <v>1136</v>
      </c>
      <c r="B51" s="4"/>
      <c r="C51" s="19"/>
      <c r="D51" s="19"/>
      <c r="E51" s="19"/>
      <c r="F51" s="4" t="s">
        <v>1123</v>
      </c>
      <c r="G51" s="4" t="s">
        <v>1130</v>
      </c>
      <c r="H51" s="4"/>
    </row>
    <row r="52" spans="1:8">
      <c r="A52" s="19" t="s">
        <v>1137</v>
      </c>
      <c r="B52" s="26"/>
      <c r="C52" s="26"/>
      <c r="D52" s="26"/>
      <c r="E52" s="26"/>
      <c r="F52" s="26" t="s">
        <v>1124</v>
      </c>
      <c r="G52" s="26" t="s">
        <v>1131</v>
      </c>
      <c r="H52" s="26"/>
    </row>
    <row r="53" spans="1:8">
      <c r="A53" s="19" t="s">
        <v>1138</v>
      </c>
      <c r="B53" s="26"/>
      <c r="C53" s="26"/>
      <c r="D53" s="26"/>
      <c r="E53" s="26"/>
      <c r="F53" s="26" t="s">
        <v>1125</v>
      </c>
      <c r="G53" s="26" t="s">
        <v>1132</v>
      </c>
      <c r="H53" s="26"/>
    </row>
    <row r="54" spans="1:8">
      <c r="A54" s="19" t="s">
        <v>1139</v>
      </c>
      <c r="B54" s="26"/>
      <c r="C54" s="26"/>
      <c r="D54" s="26"/>
      <c r="E54" s="26"/>
      <c r="F54" s="26" t="s">
        <v>1127</v>
      </c>
      <c r="G54" s="26" t="s">
        <v>1134</v>
      </c>
      <c r="H54" s="26"/>
    </row>
    <row r="55" spans="1:8">
      <c r="A55" s="19" t="s">
        <v>1140</v>
      </c>
      <c r="B55" s="26"/>
      <c r="C55" s="26"/>
      <c r="D55" s="26"/>
      <c r="E55" s="26"/>
      <c r="F55" s="26" t="s">
        <v>1146</v>
      </c>
      <c r="G55" s="26" t="s">
        <v>1144</v>
      </c>
      <c r="H55" s="26"/>
    </row>
    <row r="56" spans="1:8">
      <c r="A56" s="19" t="s">
        <v>1141</v>
      </c>
      <c r="B56" s="26"/>
      <c r="C56" s="26"/>
      <c r="D56" s="26"/>
      <c r="E56" s="26"/>
      <c r="F56" s="26" t="s">
        <v>1128</v>
      </c>
      <c r="G56" s="26" t="s">
        <v>1121</v>
      </c>
      <c r="H56" s="26"/>
    </row>
    <row r="57" spans="1:8">
      <c r="A57" s="19" t="s">
        <v>1142</v>
      </c>
      <c r="B57" s="26"/>
      <c r="C57" s="26"/>
      <c r="D57" s="26"/>
      <c r="E57" s="26"/>
      <c r="F57" s="26" t="s">
        <v>1126</v>
      </c>
      <c r="G57" s="26" t="s">
        <v>1133</v>
      </c>
      <c r="H57" s="26"/>
    </row>
    <row r="58" spans="1:8" ht="31.2">
      <c r="A58" s="19" t="s">
        <v>1143</v>
      </c>
      <c r="B58" s="3"/>
      <c r="C58" s="26"/>
      <c r="D58" s="26"/>
      <c r="E58" s="26"/>
      <c r="F58" s="26" t="s">
        <v>1129</v>
      </c>
      <c r="G58" s="3" t="s">
        <v>1135</v>
      </c>
      <c r="H58" s="26"/>
    </row>
  </sheetData>
  <mergeCells count="8">
    <mergeCell ref="A44:D44"/>
    <mergeCell ref="A49:H49"/>
    <mergeCell ref="A11:B11"/>
    <mergeCell ref="A18:B18"/>
    <mergeCell ref="A28:B28"/>
    <mergeCell ref="A30:B30"/>
    <mergeCell ref="A32:B32"/>
    <mergeCell ref="A34:B34"/>
  </mergeCells>
  <dataValidations count="5">
    <dataValidation type="list" allowBlank="1" showInputMessage="1" showErrorMessage="1" sqref="B23:B24" xr:uid="{52016699-8614-4C4C-BD85-EAB685197200}">
      <formula1>"N/A,Tags,Log Message Source"</formula1>
    </dataValidation>
    <dataValidation type="list" allowBlank="1" showInputMessage="1" showErrorMessage="1" sqref="B37" xr:uid="{F1F89D7F-96B5-45BF-9933-2C46E5A72191}">
      <formula1>"JSON,XML,CEF,LEEF,Key-Value Pairs,Delimited,Limited Structure"</formula1>
    </dataValidation>
    <dataValidation type="list" allowBlank="1" showInputMessage="1" showErrorMessage="1" sqref="B25" xr:uid="{BDD870F9-5C4F-4405-A43F-7D879A501C18}">
      <formula1>"N/A,Tags Normal,Tags Reversed,Direct Assignment"</formula1>
    </dataValidation>
    <dataValidation type="list" allowBlank="1" showInputMessage="1" showErrorMessage="1" sqref="B29 B31 B33 B35 B19:B21" xr:uid="{6EECE1A3-7D1F-4C1B-A5ED-6DDEA2FF7ECD}">
      <formula1>"Checked,Unchecked"</formula1>
    </dataValidation>
    <dataValidation type="list" allowBlank="1" showInputMessage="1" showErrorMessage="1" sqref="B22" xr:uid="{9954938B-4BD8-49DB-8EF4-72388D35BC06}">
      <formula1>"Tags Normal,Tags Reversed,Local"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Change Log</vt:lpstr>
      <vt:lpstr>Traffic-Forward</vt:lpstr>
      <vt:lpstr>Traffic-local</vt:lpstr>
      <vt:lpstr>Traffic-multicast</vt:lpstr>
      <vt:lpstr>Traffic-sniffer</vt:lpstr>
      <vt:lpstr>Event-SD Wan</vt:lpstr>
      <vt:lpstr>Event-System</vt:lpstr>
      <vt:lpstr>Event-Router</vt:lpstr>
      <vt:lpstr>Event-VPN</vt:lpstr>
      <vt:lpstr>Event-User</vt:lpstr>
      <vt:lpstr>Event-Endpoint</vt:lpstr>
      <vt:lpstr>Event-HA</vt:lpstr>
      <vt:lpstr>Event-Security Ratings</vt:lpstr>
      <vt:lpstr>Event-WAD</vt:lpstr>
      <vt:lpstr>Event-Wireless</vt:lpstr>
      <vt:lpstr>Event-Connector</vt:lpstr>
      <vt:lpstr>Event-FortiExtender</vt:lpstr>
      <vt:lpstr>Event-FortiSwitch</vt:lpstr>
      <vt:lpstr>Event-REST API</vt:lpstr>
      <vt:lpstr>UTM-Antivirus</vt:lpstr>
      <vt:lpstr>UTM-Web Filter</vt:lpstr>
      <vt:lpstr>UTM-DNS</vt:lpstr>
      <vt:lpstr>UTM-app-ctrl</vt:lpstr>
      <vt:lpstr>UTM-IPS</vt:lpstr>
      <vt:lpstr>UTM-Anamoly</vt:lpstr>
      <vt:lpstr>UTM-DLP</vt:lpstr>
      <vt:lpstr>UTM-SSH</vt:lpstr>
      <vt:lpstr>UTM-SSL</vt:lpstr>
      <vt:lpstr>UTM-VOIP</vt:lpstr>
      <vt:lpstr>UTM-WAF</vt:lpstr>
      <vt:lpstr>systemevent-endpoint</vt:lpstr>
      <vt:lpstr>systemevent-system</vt:lpstr>
      <vt:lpstr>Traffic-https</vt:lpstr>
      <vt:lpstr>Traffic-System</vt:lpstr>
      <vt:lpstr>UTM-Emailfilter</vt:lpstr>
      <vt:lpstr>Catch-All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Shashank Bhatnagar</cp:lastModifiedBy>
  <dcterms:created xsi:type="dcterms:W3CDTF">2020-06-25T16:08:00Z</dcterms:created>
  <dcterms:modified xsi:type="dcterms:W3CDTF">2023-12-06T05:57:08Z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4E634033B6504EAC92D6B849D7E0E641</vt:lpwstr>
  </property>
  <property fmtid="{D5CDD505-2E9C-101B-9397-08002B2CF9AE}" pid="3" name="KSOProductBuildVer">
    <vt:lpwstr>1033-11.2.0.11537</vt:lpwstr>
  </property>
</Properties>
</file>